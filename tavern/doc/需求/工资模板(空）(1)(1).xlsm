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19200" windowHeight="6750" tabRatio="883" activeTab="1"/>
  </bookViews>
  <sheets>
    <sheet name="目录" sheetId="4" r:id="rId1"/>
    <sheet name="工资计算" sheetId="1" r:id="rId2"/>
    <sheet name="考勤表" sheetId="2" r:id="rId3"/>
    <sheet name="四联工资单" sheetId="3" r:id="rId4"/>
    <sheet name="三联工资单" sheetId="5" r:id="rId5"/>
    <sheet name="个税明细申报表" sheetId="6" r:id="rId6"/>
    <sheet name="个税报告" sheetId="7" r:id="rId7"/>
    <sheet name="收入明细表" sheetId="8" r:id="rId8"/>
    <sheet name="节日" sheetId="9" r:id="rId9"/>
    <sheet name="工资条1" sheetId="10" r:id="rId10"/>
    <sheet name="工资条2" sheetId="12" r:id="rId11"/>
    <sheet name="使用说明" sheetId="11" r:id="rId12"/>
    <sheet name="参数" sheetId="13" r:id="rId13"/>
    <sheet name="公积金" sheetId="14" r:id="rId14"/>
  </sheets>
  <definedNames>
    <definedName name="_xlnm._FilterDatabase" localSheetId="12" hidden="1">参数!$C$5:$W$87</definedName>
    <definedName name="_xlnm._FilterDatabase" localSheetId="1" hidden="1">工资计算!$W$1:$W$76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6">个税报告!$A$1:$R$28</definedName>
    <definedName name="_xlnm.Print_Area" localSheetId="9">工资条1!$A$1:$Z$18</definedName>
    <definedName name="_xlnm.Print_Area" localSheetId="10">工资条2!$A$1:$W$29</definedName>
    <definedName name="_xlnm.Print_Area" localSheetId="4">三联工资单!$B$1:$T$38</definedName>
    <definedName name="_xlnm.Print_Area" localSheetId="3">四联工资单!$B$2:$I$56</definedName>
  </definedNames>
  <calcPr calcId="152511"/>
</workbook>
</file>

<file path=xl/calcChain.xml><?xml version="1.0" encoding="utf-8"?>
<calcChain xmlns="http://schemas.openxmlformats.org/spreadsheetml/2006/main">
  <c r="AJ56" i="1" l="1"/>
  <c r="AI56" i="1"/>
  <c r="AH56" i="1"/>
  <c r="AG56" i="1"/>
  <c r="AF56" i="1"/>
  <c r="AE56" i="1"/>
  <c r="AD56" i="1"/>
  <c r="AC56" i="1"/>
  <c r="AB56" i="1"/>
  <c r="AA56" i="1"/>
  <c r="Z56" i="1"/>
  <c r="AJ55" i="1"/>
  <c r="AI55" i="1"/>
  <c r="AH55" i="1"/>
  <c r="AG55" i="1"/>
  <c r="AF55" i="1"/>
  <c r="AE55" i="1"/>
  <c r="AD55" i="1"/>
  <c r="AC55" i="1"/>
  <c r="AB55" i="1"/>
  <c r="AA55" i="1"/>
  <c r="Z55" i="1"/>
  <c r="AM56" i="1" l="1"/>
  <c r="AM55" i="1"/>
  <c r="AM62" i="1" l="1"/>
  <c r="U5" i="12" l="1"/>
  <c r="U11" i="12"/>
  <c r="V2" i="10"/>
  <c r="T5" i="12"/>
  <c r="T11" i="12"/>
  <c r="I14" i="7"/>
  <c r="H23" i="3"/>
  <c r="S5" i="12"/>
  <c r="H27" i="3"/>
  <c r="C27" i="3" s="1"/>
  <c r="H19" i="3"/>
  <c r="Q8" i="12"/>
  <c r="H39" i="3"/>
  <c r="H41" i="3"/>
  <c r="C41" i="3" s="1"/>
  <c r="R8" i="10"/>
  <c r="H51" i="3"/>
  <c r="H53" i="3"/>
  <c r="H55" i="3"/>
  <c r="C55" i="3" s="1"/>
  <c r="H33" i="3"/>
  <c r="H47" i="3"/>
  <c r="W20" i="12"/>
  <c r="Q2" i="12"/>
  <c r="AN13" i="13"/>
  <c r="AM13" i="13"/>
  <c r="O2" i="10"/>
  <c r="R2" i="12"/>
  <c r="AG10" i="13"/>
  <c r="AM7" i="13"/>
  <c r="AG34" i="13"/>
  <c r="AM34" i="13"/>
  <c r="AM87" i="13"/>
  <c r="AM86" i="13"/>
  <c r="AM84" i="13"/>
  <c r="AN83" i="13"/>
  <c r="AM83" i="13"/>
  <c r="AN82" i="13"/>
  <c r="AM82" i="13"/>
  <c r="AN81" i="13"/>
  <c r="AM81" i="13"/>
  <c r="AN79" i="13"/>
  <c r="AM79" i="13"/>
  <c r="AN78" i="13"/>
  <c r="AM78" i="13"/>
  <c r="AN77" i="13"/>
  <c r="AM77" i="13"/>
  <c r="AN76" i="13"/>
  <c r="AM76" i="13"/>
  <c r="AN75" i="13"/>
  <c r="AM75" i="13"/>
  <c r="AN74" i="13"/>
  <c r="AM74" i="13"/>
  <c r="AN73" i="13"/>
  <c r="AM73" i="13"/>
  <c r="AN72" i="13"/>
  <c r="AM72" i="13"/>
  <c r="AN71" i="13"/>
  <c r="AM71" i="13"/>
  <c r="AM70" i="13"/>
  <c r="AM69" i="13"/>
  <c r="AM68" i="13"/>
  <c r="AM67" i="13"/>
  <c r="AM66" i="13"/>
  <c r="AN65" i="13"/>
  <c r="AM65" i="13"/>
  <c r="AN64" i="13"/>
  <c r="AM64" i="13"/>
  <c r="AN63" i="13"/>
  <c r="AM63" i="13"/>
  <c r="AM62" i="13"/>
  <c r="AN61" i="13"/>
  <c r="AM61" i="13"/>
  <c r="AN60" i="13"/>
  <c r="AM60" i="13"/>
  <c r="AN59" i="13"/>
  <c r="AM59" i="13"/>
  <c r="AN58" i="13"/>
  <c r="AM58" i="13"/>
  <c r="AN57" i="13"/>
  <c r="AM57" i="13"/>
  <c r="AN56" i="13"/>
  <c r="AM56" i="13"/>
  <c r="AN55" i="13"/>
  <c r="AM55" i="13"/>
  <c r="AN54" i="13"/>
  <c r="AM54" i="13"/>
  <c r="AN53" i="13"/>
  <c r="AM53" i="13"/>
  <c r="AN52" i="13"/>
  <c r="AM52" i="13"/>
  <c r="AN51" i="13"/>
  <c r="AM51" i="13"/>
  <c r="AN50" i="13"/>
  <c r="AM50" i="13"/>
  <c r="AN49" i="13"/>
  <c r="AM49" i="13"/>
  <c r="AM48" i="13"/>
  <c r="AN47" i="13"/>
  <c r="AM47" i="13"/>
  <c r="AN46" i="13"/>
  <c r="AM46" i="13"/>
  <c r="AM45" i="13"/>
  <c r="AM44" i="13"/>
  <c r="AN43" i="13"/>
  <c r="AM43" i="13"/>
  <c r="AN42" i="13"/>
  <c r="AM42" i="13"/>
  <c r="AN41" i="13"/>
  <c r="AM41" i="13"/>
  <c r="AN40" i="13"/>
  <c r="AM40" i="13"/>
  <c r="AN39" i="13"/>
  <c r="AM39" i="13"/>
  <c r="AN38" i="13"/>
  <c r="AM38" i="13"/>
  <c r="AN37" i="13"/>
  <c r="AM37" i="13"/>
  <c r="AN36" i="13"/>
  <c r="AM36" i="13"/>
  <c r="AN35" i="13"/>
  <c r="AM35" i="13"/>
  <c r="AN34" i="13"/>
  <c r="AN33" i="13"/>
  <c r="AM33" i="13"/>
  <c r="AN32" i="13"/>
  <c r="AM32" i="13"/>
  <c r="AN31" i="13"/>
  <c r="AM31" i="13"/>
  <c r="AN30" i="13"/>
  <c r="AM30" i="13"/>
  <c r="AN29" i="13"/>
  <c r="AM29" i="13"/>
  <c r="AN28" i="13"/>
  <c r="AM28" i="13"/>
  <c r="AN27" i="13"/>
  <c r="AM27" i="13"/>
  <c r="AN26" i="13"/>
  <c r="AM26" i="13"/>
  <c r="AN25" i="13"/>
  <c r="AM25" i="13"/>
  <c r="AN24" i="13"/>
  <c r="AM24" i="13"/>
  <c r="AN23" i="13"/>
  <c r="AM23" i="13"/>
  <c r="AN22" i="13"/>
  <c r="AM22" i="13"/>
  <c r="AN21" i="13"/>
  <c r="AM21" i="13"/>
  <c r="AN20" i="13"/>
  <c r="AM20" i="13"/>
  <c r="AN19" i="13"/>
  <c r="AM19" i="13"/>
  <c r="AN18" i="13"/>
  <c r="AM18" i="13"/>
  <c r="AN17" i="13"/>
  <c r="AM17" i="13"/>
  <c r="AN16" i="13"/>
  <c r="AM16" i="13"/>
  <c r="AN15" i="13"/>
  <c r="AM15" i="13"/>
  <c r="AN14" i="13"/>
  <c r="AM14" i="13"/>
  <c r="AN12" i="13"/>
  <c r="AM12" i="13"/>
  <c r="AN11" i="13"/>
  <c r="AM11" i="13"/>
  <c r="AN10" i="13"/>
  <c r="AM10" i="13"/>
  <c r="AN9" i="13"/>
  <c r="AM9" i="13"/>
  <c r="AN8" i="13"/>
  <c r="AM8" i="13"/>
  <c r="AN7" i="13"/>
  <c r="AN6" i="13"/>
  <c r="AM6" i="13"/>
  <c r="AN5" i="13"/>
  <c r="AM5" i="13"/>
  <c r="AG87" i="13"/>
  <c r="AI87" i="13" s="1"/>
  <c r="AD87" i="13"/>
  <c r="AC87" i="13"/>
  <c r="Y87" i="13"/>
  <c r="T87" i="13"/>
  <c r="S87" i="13"/>
  <c r="P87" i="13"/>
  <c r="O87" i="13"/>
  <c r="A87" i="13"/>
  <c r="AG86" i="13"/>
  <c r="AD86" i="13"/>
  <c r="AJ86" i="13"/>
  <c r="AC86" i="13"/>
  <c r="Y86" i="13"/>
  <c r="T86" i="13"/>
  <c r="S86" i="13"/>
  <c r="P86" i="13"/>
  <c r="O86" i="13"/>
  <c r="A86" i="13"/>
  <c r="AD85" i="13"/>
  <c r="AC85" i="13"/>
  <c r="Y85" i="13"/>
  <c r="T85" i="13"/>
  <c r="S85" i="13"/>
  <c r="P85" i="13"/>
  <c r="O85" i="13"/>
  <c r="A85" i="13"/>
  <c r="AG84" i="13"/>
  <c r="AD84" i="13"/>
  <c r="AC84" i="13"/>
  <c r="Y84" i="13"/>
  <c r="T84" i="13"/>
  <c r="S84" i="13"/>
  <c r="P84" i="13"/>
  <c r="O84" i="13"/>
  <c r="A84" i="13"/>
  <c r="L83" i="13"/>
  <c r="AG83" i="13" s="1"/>
  <c r="K83" i="13"/>
  <c r="AC83" i="13" s="1"/>
  <c r="J83" i="13"/>
  <c r="Z83" i="13" s="1"/>
  <c r="I83" i="13"/>
  <c r="S83" i="13" s="1"/>
  <c r="H83" i="13"/>
  <c r="O83" i="13" s="1"/>
  <c r="A83" i="13"/>
  <c r="AH82" i="13"/>
  <c r="AG82" i="13"/>
  <c r="AD82" i="13"/>
  <c r="AC82" i="13"/>
  <c r="Z82" i="13"/>
  <c r="Y82" i="13"/>
  <c r="T82" i="13"/>
  <c r="S82" i="13"/>
  <c r="P82" i="13"/>
  <c r="O82" i="13"/>
  <c r="AI82" i="13" s="1"/>
  <c r="A82" i="13"/>
  <c r="AH81" i="13"/>
  <c r="AG81" i="13"/>
  <c r="AD81" i="13"/>
  <c r="AC81" i="13"/>
  <c r="Z81" i="13"/>
  <c r="Y81" i="13"/>
  <c r="T81" i="13"/>
  <c r="S81" i="13"/>
  <c r="P81" i="13"/>
  <c r="O81" i="13"/>
  <c r="AI81" i="13" s="1"/>
  <c r="A81" i="13"/>
  <c r="AH80" i="13"/>
  <c r="AG80" i="13"/>
  <c r="AD80" i="13"/>
  <c r="AC80" i="13"/>
  <c r="Z80" i="13"/>
  <c r="Y80" i="13"/>
  <c r="R80" i="13"/>
  <c r="T80" i="13"/>
  <c r="Q80" i="13"/>
  <c r="S80" i="13"/>
  <c r="P80" i="13"/>
  <c r="O80" i="13"/>
  <c r="A80" i="13"/>
  <c r="AH79" i="13"/>
  <c r="AG79" i="13"/>
  <c r="AD79" i="13"/>
  <c r="AC79" i="13"/>
  <c r="Z79" i="13"/>
  <c r="Y79" i="13"/>
  <c r="P79" i="13"/>
  <c r="O79" i="13"/>
  <c r="AI79" i="13"/>
  <c r="A79" i="13"/>
  <c r="AH78" i="13"/>
  <c r="AG78" i="13"/>
  <c r="AD78" i="13"/>
  <c r="AC78" i="13"/>
  <c r="Z78" i="13"/>
  <c r="Y78" i="13"/>
  <c r="T78" i="13"/>
  <c r="S78" i="13"/>
  <c r="P78" i="13"/>
  <c r="AJ78" i="13" s="1"/>
  <c r="O78" i="13"/>
  <c r="AI78" i="13" s="1"/>
  <c r="A78" i="13"/>
  <c r="AH77" i="13"/>
  <c r="AG77" i="13"/>
  <c r="AD77" i="13"/>
  <c r="AC77" i="13"/>
  <c r="Z77" i="13"/>
  <c r="Y77" i="13"/>
  <c r="T77" i="13"/>
  <c r="S77" i="13"/>
  <c r="P77" i="13"/>
  <c r="O77" i="13"/>
  <c r="A77" i="13"/>
  <c r="AH76" i="13"/>
  <c r="AG76" i="13"/>
  <c r="AD76" i="13"/>
  <c r="AC76" i="13"/>
  <c r="Z76" i="13"/>
  <c r="Y76" i="13"/>
  <c r="T76" i="13"/>
  <c r="S76" i="13"/>
  <c r="P76" i="13"/>
  <c r="AJ76" i="13" s="1"/>
  <c r="O76" i="13"/>
  <c r="AI76" i="13" s="1"/>
  <c r="A76" i="13"/>
  <c r="AH75" i="13"/>
  <c r="AG75" i="13"/>
  <c r="AD75" i="13"/>
  <c r="AC75" i="13"/>
  <c r="Z75" i="13"/>
  <c r="Y75" i="13"/>
  <c r="T75" i="13"/>
  <c r="S75" i="13"/>
  <c r="P75" i="13"/>
  <c r="O75" i="13"/>
  <c r="A75" i="13"/>
  <c r="AD74" i="13"/>
  <c r="AC74" i="13"/>
  <c r="Z74" i="13"/>
  <c r="Y74" i="13"/>
  <c r="T74" i="13"/>
  <c r="S74" i="13"/>
  <c r="P74" i="13"/>
  <c r="O74" i="13"/>
  <c r="L74" i="13"/>
  <c r="AG74" i="13" s="1"/>
  <c r="AI74" i="13" s="1"/>
  <c r="A74" i="13"/>
  <c r="AH73" i="13"/>
  <c r="AD73" i="13"/>
  <c r="AC73" i="13"/>
  <c r="Z73" i="13"/>
  <c r="Y73" i="13"/>
  <c r="L73" i="13"/>
  <c r="AG73" i="13" s="1"/>
  <c r="I73" i="13"/>
  <c r="S73" i="13" s="1"/>
  <c r="AI73" i="13" s="1"/>
  <c r="H73" i="13"/>
  <c r="P73" i="13" s="1"/>
  <c r="AJ73" i="13" s="1"/>
  <c r="A73" i="13"/>
  <c r="AH72" i="13"/>
  <c r="AG72" i="13"/>
  <c r="AD72" i="13"/>
  <c r="AC72" i="13"/>
  <c r="Z72" i="13"/>
  <c r="Y72" i="13"/>
  <c r="T72" i="13"/>
  <c r="S72" i="13"/>
  <c r="P72" i="13"/>
  <c r="O72" i="13"/>
  <c r="A72" i="13"/>
  <c r="AH71" i="13"/>
  <c r="AG71" i="13"/>
  <c r="AD71" i="13"/>
  <c r="AC71" i="13"/>
  <c r="Z71" i="13"/>
  <c r="Y71" i="13"/>
  <c r="T71" i="13"/>
  <c r="S71" i="13"/>
  <c r="AI71" i="13"/>
  <c r="P71" i="13"/>
  <c r="AJ71" i="13" s="1"/>
  <c r="O71" i="13"/>
  <c r="A71" i="13"/>
  <c r="AG70" i="13"/>
  <c r="AD70" i="13"/>
  <c r="AC70" i="13"/>
  <c r="Y70" i="13"/>
  <c r="T70" i="13"/>
  <c r="S70" i="13"/>
  <c r="P70" i="13"/>
  <c r="O70" i="13"/>
  <c r="A70" i="13"/>
  <c r="AG69" i="13"/>
  <c r="AD69" i="13"/>
  <c r="AC69" i="13"/>
  <c r="Y69" i="13"/>
  <c r="T69" i="13"/>
  <c r="S69" i="13"/>
  <c r="P69" i="13"/>
  <c r="O69" i="13"/>
  <c r="AI69" i="13" s="1"/>
  <c r="A69" i="13"/>
  <c r="AG68" i="13"/>
  <c r="AD68" i="13"/>
  <c r="AC68" i="13"/>
  <c r="Y68" i="13"/>
  <c r="T68" i="13"/>
  <c r="S68" i="13"/>
  <c r="P68" i="13"/>
  <c r="AJ68" i="13" s="1"/>
  <c r="O68" i="13"/>
  <c r="A68" i="13"/>
  <c r="AG67" i="13"/>
  <c r="AD67" i="13"/>
  <c r="AC67" i="13"/>
  <c r="Y67" i="13"/>
  <c r="T67" i="13"/>
  <c r="S67" i="13"/>
  <c r="P67" i="13"/>
  <c r="O67" i="13"/>
  <c r="A67" i="13"/>
  <c r="AG66" i="13"/>
  <c r="AD66" i="13"/>
  <c r="AC66" i="13"/>
  <c r="Y66" i="13"/>
  <c r="T66" i="13"/>
  <c r="S66" i="13"/>
  <c r="P66" i="13"/>
  <c r="O66" i="13"/>
  <c r="A66" i="13"/>
  <c r="AH65" i="13"/>
  <c r="AG65" i="13"/>
  <c r="AD65" i="13"/>
  <c r="AC65" i="13"/>
  <c r="Z65" i="13"/>
  <c r="Y65" i="13"/>
  <c r="T65" i="13"/>
  <c r="S65" i="13"/>
  <c r="AI65" i="13"/>
  <c r="P65" i="13"/>
  <c r="AJ65" i="13" s="1"/>
  <c r="O65" i="13"/>
  <c r="A65" i="13"/>
  <c r="AH64" i="13"/>
  <c r="AG64" i="13"/>
  <c r="AD64" i="13"/>
  <c r="AC64" i="13"/>
  <c r="Z64" i="13"/>
  <c r="Y64" i="13"/>
  <c r="T64" i="13"/>
  <c r="S64" i="13"/>
  <c r="P64" i="13"/>
  <c r="O64" i="13"/>
  <c r="A64" i="13"/>
  <c r="AH63" i="13"/>
  <c r="AG63" i="13"/>
  <c r="AD63" i="13"/>
  <c r="AC63" i="13"/>
  <c r="Z63" i="13"/>
  <c r="Y63" i="13"/>
  <c r="T63" i="13"/>
  <c r="S63" i="13"/>
  <c r="P63" i="13"/>
  <c r="AJ63" i="13" s="1"/>
  <c r="O63" i="13"/>
  <c r="AI63" i="13" s="1"/>
  <c r="A63" i="13"/>
  <c r="AG62" i="13"/>
  <c r="Y62" i="13"/>
  <c r="T62" i="13"/>
  <c r="S62" i="13"/>
  <c r="P62" i="13"/>
  <c r="O62" i="13"/>
  <c r="A62" i="13"/>
  <c r="AD61" i="13"/>
  <c r="V61" i="13"/>
  <c r="P61" i="13"/>
  <c r="L61" i="13"/>
  <c r="AH61" i="13"/>
  <c r="K61" i="13"/>
  <c r="AC61" i="13" s="1"/>
  <c r="J61" i="13"/>
  <c r="Z61" i="13"/>
  <c r="I61" i="13"/>
  <c r="S61" i="13" s="1"/>
  <c r="AI61" i="13" s="1"/>
  <c r="H61" i="13"/>
  <c r="O61" i="13"/>
  <c r="A61" i="13"/>
  <c r="AH60" i="13"/>
  <c r="AG60" i="13"/>
  <c r="AD60" i="13"/>
  <c r="AC60" i="13"/>
  <c r="Z60" i="13"/>
  <c r="Y60" i="13"/>
  <c r="V60" i="13"/>
  <c r="U60" i="13"/>
  <c r="T60" i="13"/>
  <c r="S60" i="13"/>
  <c r="P60" i="13"/>
  <c r="O60" i="13"/>
  <c r="A60" i="13"/>
  <c r="U59" i="13"/>
  <c r="L59" i="13"/>
  <c r="AH59" i="13" s="1"/>
  <c r="K59" i="13"/>
  <c r="AD59" i="13" s="1"/>
  <c r="J59" i="13"/>
  <c r="Y59" i="13" s="1"/>
  <c r="I59" i="13"/>
  <c r="T59" i="13" s="1"/>
  <c r="H59" i="13"/>
  <c r="O59" i="13" s="1"/>
  <c r="A59" i="13"/>
  <c r="L58" i="13"/>
  <c r="AH58" i="13" s="1"/>
  <c r="K58" i="13"/>
  <c r="AC58" i="13"/>
  <c r="J58" i="13"/>
  <c r="Z58" i="13" s="1"/>
  <c r="I58" i="13"/>
  <c r="S58" i="13"/>
  <c r="H58" i="13"/>
  <c r="P58" i="13" s="1"/>
  <c r="A58" i="13"/>
  <c r="L57" i="13"/>
  <c r="AG57" i="13" s="1"/>
  <c r="K57" i="13"/>
  <c r="AD57" i="13" s="1"/>
  <c r="J57" i="13"/>
  <c r="Z57" i="13" s="1"/>
  <c r="I57" i="13"/>
  <c r="T57" i="13" s="1"/>
  <c r="H57" i="13"/>
  <c r="O57" i="13" s="1"/>
  <c r="A57" i="13"/>
  <c r="T56" i="13"/>
  <c r="S56" i="13"/>
  <c r="L56" i="13"/>
  <c r="AH56" i="13" s="1"/>
  <c r="K56" i="13"/>
  <c r="AC56" i="13" s="1"/>
  <c r="J56" i="13"/>
  <c r="Z56" i="13" s="1"/>
  <c r="H56" i="13"/>
  <c r="O56" i="13" s="1"/>
  <c r="A56" i="13"/>
  <c r="AH55" i="13"/>
  <c r="AG55" i="13"/>
  <c r="AD55" i="13"/>
  <c r="AC55" i="13"/>
  <c r="Z55" i="13"/>
  <c r="Y55" i="13"/>
  <c r="T55" i="13"/>
  <c r="S55" i="13"/>
  <c r="P55" i="13"/>
  <c r="O55" i="13"/>
  <c r="A55" i="13"/>
  <c r="AH54" i="13"/>
  <c r="AG54" i="13"/>
  <c r="AD54" i="13"/>
  <c r="AC54" i="13"/>
  <c r="Z54" i="13"/>
  <c r="Y54" i="13"/>
  <c r="T54" i="13"/>
  <c r="S54" i="13"/>
  <c r="AI54" i="13"/>
  <c r="P54" i="13"/>
  <c r="O54" i="13"/>
  <c r="A54" i="13"/>
  <c r="AH53" i="13"/>
  <c r="AG53" i="13"/>
  <c r="AD53" i="13"/>
  <c r="AC53" i="13"/>
  <c r="Z53" i="13"/>
  <c r="Y53" i="13"/>
  <c r="T53" i="13"/>
  <c r="S53" i="13"/>
  <c r="P53" i="13"/>
  <c r="O53" i="13"/>
  <c r="A53" i="13"/>
  <c r="AH52" i="13"/>
  <c r="AG52" i="13"/>
  <c r="AD52" i="13"/>
  <c r="AC52" i="13"/>
  <c r="Z52" i="13"/>
  <c r="Y52" i="13"/>
  <c r="T52" i="13"/>
  <c r="S52" i="13"/>
  <c r="P52" i="13"/>
  <c r="AJ52" i="13"/>
  <c r="O52" i="13"/>
  <c r="AI52" i="13" s="1"/>
  <c r="A52" i="13"/>
  <c r="AH51" i="13"/>
  <c r="AG51" i="13"/>
  <c r="AD51" i="13"/>
  <c r="AC51" i="13"/>
  <c r="Z51" i="13"/>
  <c r="Y51" i="13"/>
  <c r="T51" i="13"/>
  <c r="S51" i="13"/>
  <c r="P51" i="13"/>
  <c r="O51" i="13"/>
  <c r="A51" i="13"/>
  <c r="AH50" i="13"/>
  <c r="AG50" i="13"/>
  <c r="AC50" i="13"/>
  <c r="Z50" i="13"/>
  <c r="Y50" i="13"/>
  <c r="V50" i="13"/>
  <c r="U50" i="13"/>
  <c r="T50" i="13"/>
  <c r="S50" i="13"/>
  <c r="P50" i="13"/>
  <c r="K50" i="13"/>
  <c r="AD50" i="13"/>
  <c r="H50" i="13"/>
  <c r="O50" i="13" s="1"/>
  <c r="AI50" i="13" s="1"/>
  <c r="A50" i="13"/>
  <c r="AH49" i="13"/>
  <c r="AG49" i="13"/>
  <c r="AD49" i="13"/>
  <c r="AC49" i="13"/>
  <c r="Z49" i="13"/>
  <c r="Y49" i="13"/>
  <c r="V49" i="13"/>
  <c r="T49" i="13"/>
  <c r="S49" i="13"/>
  <c r="P49" i="13"/>
  <c r="O49" i="13"/>
  <c r="A49" i="13"/>
  <c r="AG48" i="13"/>
  <c r="AD48" i="13"/>
  <c r="AC48" i="13"/>
  <c r="Y48" i="13"/>
  <c r="S48" i="13"/>
  <c r="P48" i="13"/>
  <c r="O48" i="13"/>
  <c r="A48" i="13"/>
  <c r="AH47" i="13"/>
  <c r="AG47" i="13"/>
  <c r="AD47" i="13"/>
  <c r="AC47" i="13"/>
  <c r="Z47" i="13"/>
  <c r="Y47" i="13"/>
  <c r="T47" i="13"/>
  <c r="S47" i="13"/>
  <c r="P47" i="13"/>
  <c r="O47" i="13"/>
  <c r="A47" i="13"/>
  <c r="AH46" i="13"/>
  <c r="AG46" i="13"/>
  <c r="AD46" i="13"/>
  <c r="AC46" i="13"/>
  <c r="Z46" i="13"/>
  <c r="Y46" i="13"/>
  <c r="T46" i="13"/>
  <c r="S46" i="13"/>
  <c r="P46" i="13"/>
  <c r="AJ46" i="13" s="1"/>
  <c r="O46" i="13"/>
  <c r="AI46" i="13" s="1"/>
  <c r="A46" i="13"/>
  <c r="AG45" i="13"/>
  <c r="AC45" i="13"/>
  <c r="Y45" i="13"/>
  <c r="T45" i="13"/>
  <c r="S45" i="13"/>
  <c r="AI45" i="13" s="1"/>
  <c r="P45" i="13"/>
  <c r="O45" i="13"/>
  <c r="A45" i="13"/>
  <c r="AG44" i="13"/>
  <c r="AI44" i="13" s="1"/>
  <c r="AC44" i="13"/>
  <c r="Y44" i="13"/>
  <c r="T44" i="13"/>
  <c r="AJ44" i="13" s="1"/>
  <c r="S44" i="13"/>
  <c r="P44" i="13"/>
  <c r="O44" i="13"/>
  <c r="A44" i="13"/>
  <c r="AH43" i="13"/>
  <c r="AG43" i="13"/>
  <c r="AD43" i="13"/>
  <c r="AC43" i="13"/>
  <c r="Z43" i="13"/>
  <c r="Y43" i="13"/>
  <c r="T43" i="13"/>
  <c r="S43" i="13"/>
  <c r="P43" i="13"/>
  <c r="AJ43" i="13" s="1"/>
  <c r="O43" i="13"/>
  <c r="A43" i="13"/>
  <c r="AH42" i="13"/>
  <c r="AG42" i="13"/>
  <c r="AD42" i="13"/>
  <c r="AC42" i="13"/>
  <c r="Z42" i="13"/>
  <c r="Y42" i="13"/>
  <c r="T42" i="13"/>
  <c r="AJ42" i="13" s="1"/>
  <c r="S42" i="13"/>
  <c r="P42" i="13"/>
  <c r="O42" i="13"/>
  <c r="A42" i="13"/>
  <c r="AH41" i="13"/>
  <c r="AG41" i="13"/>
  <c r="AD41" i="13"/>
  <c r="AC41" i="13"/>
  <c r="Z41" i="13"/>
  <c r="Y41" i="13"/>
  <c r="T41" i="13"/>
  <c r="AJ41" i="13" s="1"/>
  <c r="S41" i="13"/>
  <c r="P41" i="13"/>
  <c r="O41" i="13"/>
  <c r="A41" i="13"/>
  <c r="AH40" i="13"/>
  <c r="AG40" i="13"/>
  <c r="AD40" i="13"/>
  <c r="AC40" i="13"/>
  <c r="Z40" i="13"/>
  <c r="Y40" i="13"/>
  <c r="T40" i="13"/>
  <c r="S40" i="13"/>
  <c r="P40" i="13"/>
  <c r="AJ40" i="13" s="1"/>
  <c r="O40" i="13"/>
  <c r="A40" i="13"/>
  <c r="AH39" i="13"/>
  <c r="AG39" i="13"/>
  <c r="AD39" i="13"/>
  <c r="AC39" i="13"/>
  <c r="Z39" i="13"/>
  <c r="Y39" i="13"/>
  <c r="T39" i="13"/>
  <c r="S39" i="13"/>
  <c r="P39" i="13"/>
  <c r="AJ39" i="13" s="1"/>
  <c r="O39" i="13"/>
  <c r="A39" i="13"/>
  <c r="AH38" i="13"/>
  <c r="AG38" i="13"/>
  <c r="AD38" i="13"/>
  <c r="AC38" i="13"/>
  <c r="Z38" i="13"/>
  <c r="Y38" i="13"/>
  <c r="T38" i="13"/>
  <c r="AJ38" i="13" s="1"/>
  <c r="S38" i="13"/>
  <c r="P38" i="13"/>
  <c r="O38" i="13"/>
  <c r="A38" i="13"/>
  <c r="AH37" i="13"/>
  <c r="AG37" i="13"/>
  <c r="AD37" i="13"/>
  <c r="AC37" i="13"/>
  <c r="Z37" i="13"/>
  <c r="Y37" i="13"/>
  <c r="T37" i="13"/>
  <c r="AJ37" i="13" s="1"/>
  <c r="S37" i="13"/>
  <c r="P37" i="13"/>
  <c r="O37" i="13"/>
  <c r="A37" i="13"/>
  <c r="AH36" i="13"/>
  <c r="AG36" i="13"/>
  <c r="AD36" i="13"/>
  <c r="AC36" i="13"/>
  <c r="Z36" i="13"/>
  <c r="Y36" i="13"/>
  <c r="T36" i="13"/>
  <c r="S36" i="13"/>
  <c r="P36" i="13"/>
  <c r="AJ36" i="13" s="1"/>
  <c r="O36" i="13"/>
  <c r="A36" i="13"/>
  <c r="AH35" i="13"/>
  <c r="AG35" i="13"/>
  <c r="AD35" i="13"/>
  <c r="AC35" i="13"/>
  <c r="Z35" i="13"/>
  <c r="Y35" i="13"/>
  <c r="T35" i="13"/>
  <c r="S35" i="13"/>
  <c r="P35" i="13"/>
  <c r="AJ35" i="13" s="1"/>
  <c r="O35" i="13"/>
  <c r="A35" i="13"/>
  <c r="AH34" i="13"/>
  <c r="AD34" i="13"/>
  <c r="AC34" i="13"/>
  <c r="Z34" i="13"/>
  <c r="Y34" i="13"/>
  <c r="T34" i="13"/>
  <c r="S34" i="13"/>
  <c r="P34" i="13"/>
  <c r="AJ34" i="13" s="1"/>
  <c r="O34" i="13"/>
  <c r="A34" i="13"/>
  <c r="AH33" i="13"/>
  <c r="AG33" i="13"/>
  <c r="AD33" i="13"/>
  <c r="AC33" i="13"/>
  <c r="Z33" i="13"/>
  <c r="Y33" i="13"/>
  <c r="T33" i="13"/>
  <c r="AJ33" i="13"/>
  <c r="S33" i="13"/>
  <c r="P33" i="13"/>
  <c r="O33" i="13"/>
  <c r="AI33" i="13" s="1"/>
  <c r="A33" i="13"/>
  <c r="AH32" i="13"/>
  <c r="AG32" i="13"/>
  <c r="AD32" i="13"/>
  <c r="AC32" i="13"/>
  <c r="Z32" i="13"/>
  <c r="Y32" i="13"/>
  <c r="T32" i="13"/>
  <c r="S32" i="13"/>
  <c r="P32" i="13"/>
  <c r="O32" i="13"/>
  <c r="A32" i="13"/>
  <c r="AH31" i="13"/>
  <c r="AG31" i="13"/>
  <c r="AD31" i="13"/>
  <c r="AC31" i="13"/>
  <c r="Z31" i="13"/>
  <c r="Y31" i="13"/>
  <c r="T31" i="13"/>
  <c r="S31" i="13"/>
  <c r="P31" i="13"/>
  <c r="AJ31" i="13" s="1"/>
  <c r="O31" i="13"/>
  <c r="AI31" i="13"/>
  <c r="A31" i="13"/>
  <c r="AH30" i="13"/>
  <c r="AG30" i="13"/>
  <c r="AD30" i="13"/>
  <c r="AC30" i="13"/>
  <c r="Z30" i="13"/>
  <c r="Y30" i="13"/>
  <c r="T30" i="13"/>
  <c r="S30" i="13"/>
  <c r="P30" i="13"/>
  <c r="O30" i="13"/>
  <c r="A30" i="13"/>
  <c r="AH29" i="13"/>
  <c r="AG29" i="13"/>
  <c r="AD29" i="13"/>
  <c r="AC29" i="13"/>
  <c r="Z29" i="13"/>
  <c r="Y29" i="13"/>
  <c r="U29" i="13"/>
  <c r="T29" i="13"/>
  <c r="S29" i="13"/>
  <c r="P29" i="13"/>
  <c r="O29" i="13"/>
  <c r="A29" i="13"/>
  <c r="AH28" i="13"/>
  <c r="AG28" i="13"/>
  <c r="AD28" i="13"/>
  <c r="AC28" i="13"/>
  <c r="Z28" i="13"/>
  <c r="Y28" i="13"/>
  <c r="T28" i="13"/>
  <c r="S28" i="13"/>
  <c r="P28" i="13"/>
  <c r="O28" i="13"/>
  <c r="A28" i="13"/>
  <c r="AH27" i="13"/>
  <c r="AG27" i="13"/>
  <c r="AD27" i="13"/>
  <c r="AC27" i="13"/>
  <c r="Z27" i="13"/>
  <c r="Y27" i="13"/>
  <c r="T27" i="13"/>
  <c r="S27" i="13"/>
  <c r="AI27" i="13"/>
  <c r="P27" i="13"/>
  <c r="AJ27" i="13" s="1"/>
  <c r="O27" i="13"/>
  <c r="A27" i="13"/>
  <c r="AH26" i="13"/>
  <c r="AG26" i="13"/>
  <c r="AD26" i="13"/>
  <c r="AC26" i="13"/>
  <c r="Z26" i="13"/>
  <c r="Y26" i="13"/>
  <c r="T26" i="13"/>
  <c r="S26" i="13"/>
  <c r="P26" i="13"/>
  <c r="O26" i="13"/>
  <c r="A26" i="13"/>
  <c r="AH25" i="13"/>
  <c r="AG25" i="13"/>
  <c r="AD25" i="13"/>
  <c r="AC25" i="13"/>
  <c r="Z25" i="13"/>
  <c r="Y25" i="13"/>
  <c r="T25" i="13"/>
  <c r="S25" i="13"/>
  <c r="P25" i="13"/>
  <c r="AJ25" i="13" s="1"/>
  <c r="O25" i="13"/>
  <c r="AI25" i="13" s="1"/>
  <c r="A25" i="13"/>
  <c r="AH24" i="13"/>
  <c r="AG24" i="13"/>
  <c r="AD24" i="13"/>
  <c r="AC24" i="13"/>
  <c r="Z24" i="13"/>
  <c r="Y24" i="13"/>
  <c r="T24" i="13"/>
  <c r="S24" i="13"/>
  <c r="P24" i="13"/>
  <c r="O24" i="13"/>
  <c r="A24" i="13"/>
  <c r="AH23" i="13"/>
  <c r="AG23" i="13"/>
  <c r="AD23" i="13"/>
  <c r="AC23" i="13"/>
  <c r="Z23" i="13"/>
  <c r="Y23" i="13"/>
  <c r="T23" i="13"/>
  <c r="S23" i="13"/>
  <c r="P23" i="13"/>
  <c r="O23" i="13"/>
  <c r="A23" i="13"/>
  <c r="AH22" i="13"/>
  <c r="AG22" i="13"/>
  <c r="AD22" i="13"/>
  <c r="AC22" i="13"/>
  <c r="Z22" i="13"/>
  <c r="Y22" i="13"/>
  <c r="T22" i="13"/>
  <c r="S22" i="13"/>
  <c r="P22" i="13"/>
  <c r="O22" i="13"/>
  <c r="A22" i="13"/>
  <c r="AH21" i="13"/>
  <c r="AG21" i="13"/>
  <c r="AD21" i="13"/>
  <c r="AC21" i="13"/>
  <c r="Z21" i="13"/>
  <c r="Y21" i="13"/>
  <c r="T21" i="13"/>
  <c r="AJ21" i="13" s="1"/>
  <c r="S21" i="13"/>
  <c r="P21" i="13"/>
  <c r="O21" i="13"/>
  <c r="AI21" i="13" s="1"/>
  <c r="A21" i="13"/>
  <c r="AH20" i="13"/>
  <c r="AG20" i="13"/>
  <c r="AD20" i="13"/>
  <c r="AC20" i="13"/>
  <c r="Z20" i="13"/>
  <c r="Y20" i="13"/>
  <c r="T20" i="13"/>
  <c r="S20" i="13"/>
  <c r="P20" i="13"/>
  <c r="O20" i="13"/>
  <c r="A20" i="13"/>
  <c r="AH19" i="13"/>
  <c r="AG19" i="13"/>
  <c r="AD19" i="13"/>
  <c r="AC19" i="13"/>
  <c r="Z19" i="13"/>
  <c r="Y19" i="13"/>
  <c r="T19" i="13"/>
  <c r="S19" i="13"/>
  <c r="AI19" i="13"/>
  <c r="P19" i="13"/>
  <c r="AJ19" i="13"/>
  <c r="O19" i="13"/>
  <c r="A19" i="13"/>
  <c r="AH18" i="13"/>
  <c r="AG18" i="13"/>
  <c r="AD18" i="13"/>
  <c r="AC18" i="13"/>
  <c r="Z18" i="13"/>
  <c r="Y18" i="13"/>
  <c r="T18" i="13"/>
  <c r="S18" i="13"/>
  <c r="P18" i="13"/>
  <c r="O18" i="13"/>
  <c r="A18" i="13"/>
  <c r="AH17" i="13"/>
  <c r="AG17" i="13"/>
  <c r="AD17" i="13"/>
  <c r="AC17" i="13"/>
  <c r="Z17" i="13"/>
  <c r="Y17" i="13"/>
  <c r="T17" i="13"/>
  <c r="AJ17" i="13" s="1"/>
  <c r="S17" i="13"/>
  <c r="P17" i="13"/>
  <c r="O17" i="13"/>
  <c r="AI17" i="13" s="1"/>
  <c r="A17" i="13"/>
  <c r="AH16" i="13"/>
  <c r="AG16" i="13"/>
  <c r="AD16" i="13"/>
  <c r="AC16" i="13"/>
  <c r="Z16" i="13"/>
  <c r="Y16" i="13"/>
  <c r="T16" i="13"/>
  <c r="S16" i="13"/>
  <c r="P16" i="13"/>
  <c r="O16" i="13"/>
  <c r="A16" i="13"/>
  <c r="AH15" i="13"/>
  <c r="AG15" i="13"/>
  <c r="AD15" i="13"/>
  <c r="AC15" i="13"/>
  <c r="Z15" i="13"/>
  <c r="Y15" i="13"/>
  <c r="T15" i="13"/>
  <c r="S15" i="13"/>
  <c r="AI15" i="13"/>
  <c r="P15" i="13"/>
  <c r="AJ15" i="13"/>
  <c r="O15" i="13"/>
  <c r="A15" i="13"/>
  <c r="AH14" i="13"/>
  <c r="AG14" i="13"/>
  <c r="AD14" i="13"/>
  <c r="AC14" i="13"/>
  <c r="Z14" i="13"/>
  <c r="Y14" i="13"/>
  <c r="T14" i="13"/>
  <c r="S14" i="13"/>
  <c r="P14" i="13"/>
  <c r="O14" i="13"/>
  <c r="A14" i="13"/>
  <c r="AH13" i="13"/>
  <c r="AG13" i="13"/>
  <c r="AD13" i="13"/>
  <c r="AC13" i="13"/>
  <c r="Z13" i="13"/>
  <c r="Y13" i="13"/>
  <c r="T13" i="13"/>
  <c r="S13" i="13"/>
  <c r="P13" i="13"/>
  <c r="O13" i="13"/>
  <c r="A13" i="13"/>
  <c r="AH12" i="13"/>
  <c r="AG12" i="13"/>
  <c r="AD12" i="13"/>
  <c r="AC12" i="13"/>
  <c r="Z12" i="13"/>
  <c r="Y12" i="13"/>
  <c r="T12" i="13"/>
  <c r="S12" i="13"/>
  <c r="P12" i="13"/>
  <c r="O12" i="13"/>
  <c r="A12" i="13"/>
  <c r="AH11" i="13"/>
  <c r="AG11" i="13"/>
  <c r="AD11" i="13"/>
  <c r="AC11" i="13"/>
  <c r="Z11" i="13"/>
  <c r="AJ11" i="13" s="1"/>
  <c r="Y11" i="13"/>
  <c r="T11" i="13"/>
  <c r="S11" i="13"/>
  <c r="AI11" i="13"/>
  <c r="P11" i="13"/>
  <c r="O11" i="13"/>
  <c r="A11" i="13"/>
  <c r="AH10" i="13"/>
  <c r="AD10" i="13"/>
  <c r="AC10" i="13"/>
  <c r="Z10" i="13"/>
  <c r="Y10" i="13"/>
  <c r="V10" i="13"/>
  <c r="T10" i="13"/>
  <c r="S10" i="13"/>
  <c r="P10" i="13"/>
  <c r="O10" i="13"/>
  <c r="A10" i="13"/>
  <c r="AH9" i="13"/>
  <c r="AG9" i="13"/>
  <c r="AD9" i="13"/>
  <c r="AC9" i="13"/>
  <c r="Z9" i="13"/>
  <c r="Y9" i="13"/>
  <c r="V9" i="13"/>
  <c r="T9" i="13"/>
  <c r="S9" i="13"/>
  <c r="P9" i="13"/>
  <c r="O9" i="13"/>
  <c r="AI9" i="13" s="1"/>
  <c r="A9" i="13"/>
  <c r="AH8" i="13"/>
  <c r="AG8" i="13"/>
  <c r="AD8" i="13"/>
  <c r="AC8" i="13"/>
  <c r="Z8" i="13"/>
  <c r="Y8" i="13"/>
  <c r="T8" i="13"/>
  <c r="S8" i="13"/>
  <c r="P8" i="13"/>
  <c r="O8" i="13"/>
  <c r="A8" i="13"/>
  <c r="AH7" i="13"/>
  <c r="AG7" i="13"/>
  <c r="AD7" i="13"/>
  <c r="AC7" i="13"/>
  <c r="Z7" i="13"/>
  <c r="Y7" i="13"/>
  <c r="T7" i="13"/>
  <c r="S7" i="13"/>
  <c r="P7" i="13"/>
  <c r="O7" i="13"/>
  <c r="A7" i="13"/>
  <c r="AH6" i="13"/>
  <c r="AG6" i="13"/>
  <c r="AD6" i="13"/>
  <c r="AC6" i="13"/>
  <c r="Z6" i="13"/>
  <c r="Y6" i="13"/>
  <c r="T6" i="13"/>
  <c r="S6" i="13"/>
  <c r="P6" i="13"/>
  <c r="AJ6" i="13" s="1"/>
  <c r="O6" i="13"/>
  <c r="AI6" i="13" s="1"/>
  <c r="A6" i="13"/>
  <c r="AH5" i="13"/>
  <c r="AG5" i="13"/>
  <c r="AD5" i="13"/>
  <c r="AC5" i="13"/>
  <c r="Z5" i="13"/>
  <c r="Y5" i="13"/>
  <c r="T5" i="13"/>
  <c r="S5" i="13"/>
  <c r="P5" i="13"/>
  <c r="O5" i="13"/>
  <c r="A5" i="13"/>
  <c r="W63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B63" i="12"/>
  <c r="A63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30" i="12"/>
  <c r="U29" i="12"/>
  <c r="T29" i="12"/>
  <c r="S29" i="12"/>
  <c r="R29" i="12"/>
  <c r="Q29" i="12"/>
  <c r="P29" i="12"/>
  <c r="O29" i="12"/>
  <c r="N29" i="12"/>
  <c r="L29" i="12"/>
  <c r="K29" i="12"/>
  <c r="J29" i="12"/>
  <c r="I29" i="12"/>
  <c r="H29" i="12"/>
  <c r="G29" i="12"/>
  <c r="F29" i="12"/>
  <c r="E29" i="12"/>
  <c r="D29" i="12"/>
  <c r="C29" i="12"/>
  <c r="B29" i="12"/>
  <c r="A29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28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27" i="12"/>
  <c r="O26" i="12"/>
  <c r="L26" i="12"/>
  <c r="I26" i="12"/>
  <c r="H26" i="12"/>
  <c r="G26" i="12"/>
  <c r="F26" i="12"/>
  <c r="E26" i="12"/>
  <c r="D26" i="12"/>
  <c r="C26" i="12"/>
  <c r="B26" i="12"/>
  <c r="A26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25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24" i="12"/>
  <c r="O23" i="12"/>
  <c r="L23" i="12"/>
  <c r="I23" i="12"/>
  <c r="H23" i="12"/>
  <c r="G23" i="12"/>
  <c r="F23" i="12"/>
  <c r="E23" i="12"/>
  <c r="D23" i="12"/>
  <c r="C23" i="12"/>
  <c r="B23" i="12"/>
  <c r="A23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22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21" i="12"/>
  <c r="O20" i="12"/>
  <c r="L20" i="12"/>
  <c r="I20" i="12"/>
  <c r="H20" i="12"/>
  <c r="G20" i="12"/>
  <c r="F20" i="12"/>
  <c r="E20" i="12"/>
  <c r="D20" i="12"/>
  <c r="C20" i="12"/>
  <c r="B20" i="12"/>
  <c r="A20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19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18" i="12"/>
  <c r="O17" i="12"/>
  <c r="L17" i="12"/>
  <c r="I17" i="12"/>
  <c r="H17" i="12"/>
  <c r="G17" i="12"/>
  <c r="F17" i="12"/>
  <c r="E17" i="12"/>
  <c r="D17" i="12"/>
  <c r="C17" i="12"/>
  <c r="B17" i="12"/>
  <c r="A17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16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15" i="12"/>
  <c r="O14" i="12"/>
  <c r="L14" i="12"/>
  <c r="I14" i="12"/>
  <c r="H14" i="12"/>
  <c r="G14" i="12"/>
  <c r="F14" i="12"/>
  <c r="E14" i="12"/>
  <c r="D14" i="12"/>
  <c r="C14" i="12"/>
  <c r="B14" i="12"/>
  <c r="A14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A13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A12" i="12"/>
  <c r="O11" i="12"/>
  <c r="L11" i="12"/>
  <c r="I11" i="12"/>
  <c r="H11" i="12"/>
  <c r="G11" i="12"/>
  <c r="F11" i="12"/>
  <c r="E11" i="12"/>
  <c r="D11" i="12"/>
  <c r="C11" i="12"/>
  <c r="B11" i="12"/>
  <c r="A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A9" i="12"/>
  <c r="O8" i="12"/>
  <c r="L8" i="12"/>
  <c r="I8" i="12"/>
  <c r="H8" i="12"/>
  <c r="G8" i="12"/>
  <c r="F8" i="12"/>
  <c r="E8" i="12"/>
  <c r="D8" i="12"/>
  <c r="C8" i="12"/>
  <c r="B8" i="12"/>
  <c r="A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A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A6" i="12"/>
  <c r="O5" i="12"/>
  <c r="M5" i="12"/>
  <c r="L5" i="12"/>
  <c r="I5" i="12"/>
  <c r="H5" i="12"/>
  <c r="G5" i="12"/>
  <c r="F5" i="12"/>
  <c r="E5" i="12"/>
  <c r="D5" i="12"/>
  <c r="C5" i="12"/>
  <c r="B5" i="12"/>
  <c r="A5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A4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3" i="12"/>
  <c r="O2" i="12"/>
  <c r="L2" i="12"/>
  <c r="I2" i="12"/>
  <c r="H2" i="12"/>
  <c r="G2" i="12"/>
  <c r="F2" i="12"/>
  <c r="E2" i="12"/>
  <c r="D2" i="12"/>
  <c r="C2" i="12"/>
  <c r="B2" i="12"/>
  <c r="A2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A1" i="12"/>
  <c r="Y18" i="10"/>
  <c r="X18" i="10"/>
  <c r="P18" i="10"/>
  <c r="M18" i="10"/>
  <c r="J18" i="10"/>
  <c r="I18" i="10"/>
  <c r="H18" i="10"/>
  <c r="G18" i="10"/>
  <c r="F18" i="10"/>
  <c r="E18" i="10"/>
  <c r="D18" i="10"/>
  <c r="C18" i="10"/>
  <c r="B18" i="10"/>
  <c r="A18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A17" i="10"/>
  <c r="Y16" i="10"/>
  <c r="X16" i="10"/>
  <c r="P16" i="10"/>
  <c r="M16" i="10"/>
  <c r="J16" i="10"/>
  <c r="I16" i="10"/>
  <c r="H16" i="10"/>
  <c r="G16" i="10"/>
  <c r="F16" i="10"/>
  <c r="E16" i="10"/>
  <c r="D16" i="10"/>
  <c r="C16" i="10"/>
  <c r="B16" i="10"/>
  <c r="A16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A15" i="10"/>
  <c r="Y14" i="10"/>
  <c r="X14" i="10"/>
  <c r="P14" i="10"/>
  <c r="M14" i="10"/>
  <c r="J14" i="10"/>
  <c r="I14" i="10"/>
  <c r="H14" i="10"/>
  <c r="G14" i="10"/>
  <c r="F14" i="10"/>
  <c r="E14" i="10"/>
  <c r="D14" i="10"/>
  <c r="C14" i="10"/>
  <c r="B14" i="10"/>
  <c r="A14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A13" i="10"/>
  <c r="Y12" i="10"/>
  <c r="X12" i="10"/>
  <c r="P12" i="10"/>
  <c r="M12" i="10"/>
  <c r="J12" i="10"/>
  <c r="I12" i="10"/>
  <c r="H12" i="10"/>
  <c r="G12" i="10"/>
  <c r="F12" i="10"/>
  <c r="E12" i="10"/>
  <c r="D12" i="10"/>
  <c r="C12" i="10"/>
  <c r="B12" i="10"/>
  <c r="A12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A11" i="10"/>
  <c r="Y10" i="10"/>
  <c r="X10" i="10"/>
  <c r="P10" i="10"/>
  <c r="M10" i="10"/>
  <c r="J10" i="10"/>
  <c r="I10" i="10"/>
  <c r="H10" i="10"/>
  <c r="G10" i="10"/>
  <c r="F10" i="10"/>
  <c r="E10" i="10"/>
  <c r="D10" i="10"/>
  <c r="C10" i="10"/>
  <c r="B10" i="10"/>
  <c r="A10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A9" i="10"/>
  <c r="Y8" i="10"/>
  <c r="X8" i="10"/>
  <c r="P8" i="10"/>
  <c r="M8" i="10"/>
  <c r="J8" i="10"/>
  <c r="I8" i="10"/>
  <c r="H8" i="10"/>
  <c r="G8" i="10"/>
  <c r="F8" i="10"/>
  <c r="E8" i="10"/>
  <c r="D8" i="10"/>
  <c r="C8" i="10"/>
  <c r="B8" i="10"/>
  <c r="A8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A7" i="10"/>
  <c r="Y6" i="10"/>
  <c r="X6" i="10"/>
  <c r="P6" i="10"/>
  <c r="M6" i="10"/>
  <c r="J6" i="10"/>
  <c r="I6" i="10"/>
  <c r="H6" i="10"/>
  <c r="G6" i="10"/>
  <c r="F6" i="10"/>
  <c r="E6" i="10"/>
  <c r="D6" i="10"/>
  <c r="C6" i="10"/>
  <c r="B6" i="10"/>
  <c r="A6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A5" i="10"/>
  <c r="Y4" i="10"/>
  <c r="X4" i="10"/>
  <c r="P4" i="10"/>
  <c r="N4" i="10"/>
  <c r="M4" i="10"/>
  <c r="J4" i="10"/>
  <c r="I4" i="10"/>
  <c r="H4" i="10"/>
  <c r="G4" i="10"/>
  <c r="F4" i="10"/>
  <c r="E4" i="10"/>
  <c r="D4" i="10"/>
  <c r="C4" i="10"/>
  <c r="B4" i="10"/>
  <c r="A4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A3" i="10"/>
  <c r="Y2" i="10"/>
  <c r="X2" i="10"/>
  <c r="P2" i="10"/>
  <c r="M2" i="10"/>
  <c r="J2" i="10"/>
  <c r="I2" i="10"/>
  <c r="H2" i="10"/>
  <c r="G2" i="10"/>
  <c r="F2" i="10"/>
  <c r="E2" i="10"/>
  <c r="D2" i="10"/>
  <c r="C2" i="10"/>
  <c r="B2" i="10"/>
  <c r="A2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B1" i="10"/>
  <c r="A1" i="10"/>
  <c r="E1" i="9"/>
  <c r="E2" i="9" s="1" a="1"/>
  <c r="E2" i="9" s="1"/>
  <c r="I26" i="8"/>
  <c r="H26" i="8"/>
  <c r="G26" i="8"/>
  <c r="F26" i="8"/>
  <c r="E25" i="8"/>
  <c r="D25" i="8" s="1"/>
  <c r="C25" i="8"/>
  <c r="B25" i="8"/>
  <c r="E24" i="8"/>
  <c r="D24" i="8" s="1"/>
  <c r="C24" i="8"/>
  <c r="B24" i="8"/>
  <c r="C23" i="8"/>
  <c r="B23" i="8"/>
  <c r="E22" i="8"/>
  <c r="D22" i="8" s="1"/>
  <c r="C22" i="8"/>
  <c r="B22" i="8"/>
  <c r="E21" i="8"/>
  <c r="D21" i="8" s="1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I22" i="7"/>
  <c r="H22" i="7"/>
  <c r="D22" i="7"/>
  <c r="B22" i="7"/>
  <c r="D21" i="7"/>
  <c r="B21" i="7"/>
  <c r="D20" i="7"/>
  <c r="B20" i="7"/>
  <c r="D19" i="7"/>
  <c r="B19" i="7"/>
  <c r="D18" i="7"/>
  <c r="B18" i="7"/>
  <c r="D17" i="7"/>
  <c r="B17" i="7"/>
  <c r="D16" i="7"/>
  <c r="B16" i="7"/>
  <c r="D15" i="7"/>
  <c r="B15" i="7"/>
  <c r="D14" i="7"/>
  <c r="B14" i="7"/>
  <c r="D13" i="7"/>
  <c r="B13" i="7"/>
  <c r="L45" i="6"/>
  <c r="I45" i="6"/>
  <c r="H45" i="6"/>
  <c r="G45" i="6"/>
  <c r="C45" i="6"/>
  <c r="B45" i="6"/>
  <c r="L44" i="6"/>
  <c r="I44" i="6"/>
  <c r="H44" i="6"/>
  <c r="G44" i="6"/>
  <c r="C44" i="6"/>
  <c r="B44" i="6"/>
  <c r="L43" i="6"/>
  <c r="I43" i="6"/>
  <c r="H43" i="6"/>
  <c r="G43" i="6"/>
  <c r="C43" i="6"/>
  <c r="B43" i="6"/>
  <c r="L42" i="6"/>
  <c r="I42" i="6"/>
  <c r="H42" i="6"/>
  <c r="G42" i="6"/>
  <c r="C42" i="6"/>
  <c r="B42" i="6"/>
  <c r="L41" i="6"/>
  <c r="I41" i="6"/>
  <c r="H41" i="6"/>
  <c r="G41" i="6"/>
  <c r="C41" i="6"/>
  <c r="B41" i="6"/>
  <c r="L40" i="6"/>
  <c r="I40" i="6"/>
  <c r="H40" i="6"/>
  <c r="G40" i="6"/>
  <c r="C40" i="6"/>
  <c r="B40" i="6"/>
  <c r="L39" i="6"/>
  <c r="I39" i="6"/>
  <c r="H39" i="6"/>
  <c r="G39" i="6"/>
  <c r="C39" i="6"/>
  <c r="B39" i="6"/>
  <c r="L38" i="6"/>
  <c r="I38" i="6"/>
  <c r="H38" i="6"/>
  <c r="G38" i="6"/>
  <c r="C38" i="6"/>
  <c r="B38" i="6"/>
  <c r="L37" i="6"/>
  <c r="I37" i="6"/>
  <c r="H37" i="6"/>
  <c r="G37" i="6"/>
  <c r="C37" i="6"/>
  <c r="B37" i="6"/>
  <c r="L36" i="6"/>
  <c r="I36" i="6"/>
  <c r="H36" i="6"/>
  <c r="G36" i="6"/>
  <c r="C36" i="6"/>
  <c r="B36" i="6"/>
  <c r="L35" i="6"/>
  <c r="I35" i="6"/>
  <c r="H35" i="6"/>
  <c r="G35" i="6"/>
  <c r="C35" i="6"/>
  <c r="B35" i="6"/>
  <c r="L34" i="6"/>
  <c r="I34" i="6"/>
  <c r="H34" i="6"/>
  <c r="G34" i="6"/>
  <c r="C34" i="6"/>
  <c r="B34" i="6"/>
  <c r="L33" i="6"/>
  <c r="I33" i="6"/>
  <c r="H33" i="6"/>
  <c r="G33" i="6"/>
  <c r="C33" i="6"/>
  <c r="B33" i="6"/>
  <c r="L32" i="6"/>
  <c r="I32" i="6"/>
  <c r="H32" i="6"/>
  <c r="G32" i="6"/>
  <c r="C32" i="6"/>
  <c r="B32" i="6"/>
  <c r="L31" i="6"/>
  <c r="I31" i="6"/>
  <c r="H31" i="6"/>
  <c r="G31" i="6"/>
  <c r="C31" i="6"/>
  <c r="B31" i="6"/>
  <c r="L30" i="6"/>
  <c r="I30" i="6"/>
  <c r="H30" i="6"/>
  <c r="G30" i="6"/>
  <c r="C30" i="6"/>
  <c r="B30" i="6"/>
  <c r="L29" i="6"/>
  <c r="I29" i="6"/>
  <c r="H29" i="6"/>
  <c r="G29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H13" i="6"/>
  <c r="M24" i="5"/>
  <c r="T22" i="5"/>
  <c r="M22" i="5"/>
  <c r="T16" i="5"/>
  <c r="M16" i="5"/>
  <c r="F16" i="5"/>
  <c r="T15" i="5"/>
  <c r="M15" i="5"/>
  <c r="F15" i="5"/>
  <c r="T14" i="5"/>
  <c r="M14" i="5"/>
  <c r="F14" i="5"/>
  <c r="T13" i="5"/>
  <c r="M13" i="5"/>
  <c r="F13" i="5"/>
  <c r="T12" i="5"/>
  <c r="M12" i="5"/>
  <c r="F12" i="5"/>
  <c r="T11" i="5"/>
  <c r="M11" i="5"/>
  <c r="F11" i="5"/>
  <c r="T10" i="5"/>
  <c r="M10" i="5"/>
  <c r="F10" i="5"/>
  <c r="R7" i="5"/>
  <c r="K7" i="5"/>
  <c r="D7" i="5"/>
  <c r="T5" i="5"/>
  <c r="M5" i="5"/>
  <c r="F5" i="5"/>
  <c r="F53" i="3"/>
  <c r="D53" i="3"/>
  <c r="F52" i="3"/>
  <c r="D52" i="3"/>
  <c r="D51" i="3"/>
  <c r="D50" i="3"/>
  <c r="D49" i="3"/>
  <c r="D48" i="3"/>
  <c r="F47" i="3"/>
  <c r="D47" i="3"/>
  <c r="F45" i="3"/>
  <c r="D45" i="3"/>
  <c r="D39" i="3"/>
  <c r="F38" i="3"/>
  <c r="D38" i="3"/>
  <c r="D37" i="3"/>
  <c r="D36" i="3"/>
  <c r="D35" i="3"/>
  <c r="D34" i="3"/>
  <c r="F33" i="3"/>
  <c r="D33" i="3"/>
  <c r="F31" i="3"/>
  <c r="D31" i="3"/>
  <c r="F25" i="3"/>
  <c r="D25" i="3"/>
  <c r="F24" i="3"/>
  <c r="D24" i="3"/>
  <c r="D23" i="3"/>
  <c r="D22" i="3"/>
  <c r="D21" i="3"/>
  <c r="D20" i="3"/>
  <c r="F19" i="3"/>
  <c r="D19" i="3"/>
  <c r="F17" i="3"/>
  <c r="D17" i="3"/>
  <c r="D11" i="3"/>
  <c r="D10" i="3"/>
  <c r="D9" i="3"/>
  <c r="D8" i="3"/>
  <c r="D7" i="3"/>
  <c r="D6" i="3"/>
  <c r="F5" i="3"/>
  <c r="D5" i="3"/>
  <c r="F3" i="3"/>
  <c r="D3" i="3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52" i="2" s="1"/>
  <c r="D40" i="2"/>
  <c r="AQ38" i="2"/>
  <c r="AP38" i="2"/>
  <c r="AO38" i="2"/>
  <c r="AN38" i="2"/>
  <c r="AM38" i="2"/>
  <c r="AL38" i="2"/>
  <c r="AK38" i="2"/>
  <c r="AJ38" i="2"/>
  <c r="AI38" i="2"/>
  <c r="AR38" i="2"/>
  <c r="AQ37" i="2"/>
  <c r="AP37" i="2"/>
  <c r="AO37" i="2"/>
  <c r="AN37" i="2"/>
  <c r="AM37" i="2"/>
  <c r="AL37" i="2"/>
  <c r="AK37" i="2"/>
  <c r="AJ37" i="2"/>
  <c r="AI37" i="2"/>
  <c r="AR37" i="2" s="1"/>
  <c r="A37" i="2"/>
  <c r="AQ36" i="2"/>
  <c r="AP36" i="2"/>
  <c r="AO36" i="2"/>
  <c r="AN36" i="2"/>
  <c r="AM36" i="2"/>
  <c r="AL36" i="2"/>
  <c r="AK36" i="2"/>
  <c r="AJ36" i="2"/>
  <c r="AI36" i="2"/>
  <c r="AR36" i="2" s="1"/>
  <c r="AR35" i="2"/>
  <c r="AQ35" i="2"/>
  <c r="AP35" i="2"/>
  <c r="AO35" i="2"/>
  <c r="AN35" i="2"/>
  <c r="AM35" i="2"/>
  <c r="AL35" i="2"/>
  <c r="AK35" i="2"/>
  <c r="AJ35" i="2"/>
  <c r="AI35" i="2"/>
  <c r="A35" i="2"/>
  <c r="AQ34" i="2"/>
  <c r="AP34" i="2"/>
  <c r="AO34" i="2"/>
  <c r="AN34" i="2"/>
  <c r="AM34" i="2"/>
  <c r="AL34" i="2"/>
  <c r="AK34" i="2"/>
  <c r="AJ34" i="2"/>
  <c r="AI34" i="2"/>
  <c r="AR34" i="2"/>
  <c r="AQ33" i="2"/>
  <c r="AP33" i="2"/>
  <c r="AO33" i="2"/>
  <c r="AN33" i="2"/>
  <c r="AM33" i="2"/>
  <c r="AL33" i="2"/>
  <c r="AK33" i="2"/>
  <c r="AJ33" i="2"/>
  <c r="AI33" i="2"/>
  <c r="AR33" i="2" s="1"/>
  <c r="A33" i="2"/>
  <c r="AR32" i="2"/>
  <c r="AQ32" i="2"/>
  <c r="AP32" i="2"/>
  <c r="AO32" i="2"/>
  <c r="AN32" i="2"/>
  <c r="AM32" i="2"/>
  <c r="AL32" i="2"/>
  <c r="AK32" i="2"/>
  <c r="AJ32" i="2"/>
  <c r="AI32" i="2"/>
  <c r="AQ31" i="2"/>
  <c r="AP31" i="2"/>
  <c r="AO31" i="2"/>
  <c r="AN31" i="2"/>
  <c r="AM31" i="2"/>
  <c r="AL31" i="2"/>
  <c r="AK31" i="2"/>
  <c r="AJ31" i="2"/>
  <c r="AI31" i="2"/>
  <c r="AR31" i="2" s="1"/>
  <c r="A31" i="2"/>
  <c r="AQ29" i="2"/>
  <c r="AP29" i="2"/>
  <c r="AO29" i="2"/>
  <c r="AN29" i="2"/>
  <c r="AM29" i="2"/>
  <c r="AL29" i="2"/>
  <c r="AK29" i="2"/>
  <c r="AJ29" i="2"/>
  <c r="AI29" i="2"/>
  <c r="AR29" i="2" s="1"/>
  <c r="A29" i="2"/>
  <c r="AQ27" i="2"/>
  <c r="AP27" i="2"/>
  <c r="AO27" i="2"/>
  <c r="AN27" i="2"/>
  <c r="AM27" i="2"/>
  <c r="AL27" i="2"/>
  <c r="AK27" i="2"/>
  <c r="AJ27" i="2"/>
  <c r="AI27" i="2"/>
  <c r="AR27" i="2" s="1"/>
  <c r="A27" i="2"/>
  <c r="AQ25" i="2"/>
  <c r="AP25" i="2"/>
  <c r="AO25" i="2"/>
  <c r="AN25" i="2"/>
  <c r="AM25" i="2"/>
  <c r="AL25" i="2"/>
  <c r="AK25" i="2"/>
  <c r="AJ25" i="2"/>
  <c r="AI25" i="2"/>
  <c r="AR25" i="2"/>
  <c r="AQ23" i="2"/>
  <c r="AP23" i="2"/>
  <c r="AO23" i="2"/>
  <c r="AN23" i="2"/>
  <c r="AM23" i="2"/>
  <c r="AL23" i="2"/>
  <c r="AK23" i="2"/>
  <c r="AJ23" i="2"/>
  <c r="AI23" i="2"/>
  <c r="AR23" i="2" s="1"/>
  <c r="AQ21" i="2"/>
  <c r="AP21" i="2"/>
  <c r="AO21" i="2"/>
  <c r="AN21" i="2"/>
  <c r="AM21" i="2"/>
  <c r="AL21" i="2"/>
  <c r="AK21" i="2"/>
  <c r="AJ21" i="2"/>
  <c r="AI21" i="2"/>
  <c r="AR21" i="2"/>
  <c r="AQ19" i="2"/>
  <c r="AP19" i="2"/>
  <c r="AO19" i="2"/>
  <c r="AN19" i="2"/>
  <c r="AM19" i="2"/>
  <c r="AL19" i="2"/>
  <c r="AK19" i="2"/>
  <c r="AJ19" i="2"/>
  <c r="AI19" i="2"/>
  <c r="AR19" i="2" s="1"/>
  <c r="AQ17" i="2"/>
  <c r="AP17" i="2"/>
  <c r="AO17" i="2"/>
  <c r="AN17" i="2"/>
  <c r="AM17" i="2"/>
  <c r="AL17" i="2"/>
  <c r="AK17" i="2"/>
  <c r="AJ17" i="2"/>
  <c r="AI17" i="2"/>
  <c r="AR17" i="2"/>
  <c r="AR15" i="2"/>
  <c r="AQ15" i="2"/>
  <c r="AP15" i="2"/>
  <c r="AO15" i="2"/>
  <c r="AN15" i="2"/>
  <c r="AM15" i="2"/>
  <c r="AL15" i="2"/>
  <c r="AK15" i="2"/>
  <c r="AJ15" i="2"/>
  <c r="AI15" i="2"/>
  <c r="AQ13" i="2"/>
  <c r="AP13" i="2"/>
  <c r="AO13" i="2"/>
  <c r="AN13" i="2"/>
  <c r="AM13" i="2"/>
  <c r="AL13" i="2"/>
  <c r="AK13" i="2"/>
  <c r="AJ13" i="2"/>
  <c r="AI13" i="2"/>
  <c r="AR13" i="2"/>
  <c r="AQ11" i="2"/>
  <c r="F34" i="3"/>
  <c r="AP11" i="2"/>
  <c r="AO11" i="2"/>
  <c r="AN11" i="2"/>
  <c r="AM11" i="2"/>
  <c r="AL11" i="2"/>
  <c r="AK11" i="2"/>
  <c r="AJ11" i="2"/>
  <c r="AI11" i="2"/>
  <c r="AQ9" i="2"/>
  <c r="AP9" i="2"/>
  <c r="AO9" i="2"/>
  <c r="AN9" i="2"/>
  <c r="AM9" i="2"/>
  <c r="AL9" i="2"/>
  <c r="AK9" i="2"/>
  <c r="AJ9" i="2"/>
  <c r="AI9" i="2"/>
  <c r="AR9" i="2" s="1"/>
  <c r="A9" i="2"/>
  <c r="A11" i="2" s="1"/>
  <c r="D7" i="2"/>
  <c r="E6" i="2"/>
  <c r="F6" i="2" s="1"/>
  <c r="D4" i="2"/>
  <c r="K4" i="2" s="1"/>
  <c r="AI2" i="2"/>
  <c r="A2" i="2"/>
  <c r="AZ63" i="1"/>
  <c r="AL61" i="1"/>
  <c r="AK61" i="1"/>
  <c r="AJ61" i="1"/>
  <c r="L10" i="6" s="1"/>
  <c r="AI61" i="1"/>
  <c r="AC61" i="1"/>
  <c r="AB61" i="1"/>
  <c r="AA61" i="1"/>
  <c r="Z61" i="1"/>
  <c r="Y61" i="1"/>
  <c r="H10" i="6" s="1"/>
  <c r="W61" i="1"/>
  <c r="V61" i="1"/>
  <c r="U61" i="1"/>
  <c r="T61" i="1"/>
  <c r="S61" i="1"/>
  <c r="L61" i="1"/>
  <c r="BO61" i="1"/>
  <c r="M20" i="5"/>
  <c r="F6" i="3"/>
  <c r="AJ13" i="13"/>
  <c r="AI13" i="13"/>
  <c r="M29" i="12"/>
  <c r="AJ5" i="13"/>
  <c r="AJ10" i="13"/>
  <c r="AJ12" i="13"/>
  <c r="AJ14" i="13"/>
  <c r="AJ16" i="13"/>
  <c r="AJ18" i="13"/>
  <c r="AJ20" i="13"/>
  <c r="AJ22" i="13"/>
  <c r="AJ26" i="13"/>
  <c r="AJ28" i="13"/>
  <c r="AI30" i="13"/>
  <c r="AI32" i="13"/>
  <c r="AI34" i="13"/>
  <c r="AI36" i="13"/>
  <c r="AI38" i="13"/>
  <c r="AI40" i="13"/>
  <c r="AI42" i="13"/>
  <c r="AI47" i="13"/>
  <c r="AJ48" i="13"/>
  <c r="AJ49" i="13"/>
  <c r="AI51" i="13"/>
  <c r="AI53" i="13"/>
  <c r="AI55" i="13"/>
  <c r="AG58" i="13"/>
  <c r="AG61" i="13"/>
  <c r="AJ67" i="13"/>
  <c r="AI68" i="13"/>
  <c r="AJ69" i="13"/>
  <c r="AJ81" i="13"/>
  <c r="AH83" i="13"/>
  <c r="AJ84" i="13"/>
  <c r="AJ85" i="13"/>
  <c r="AI85" i="13"/>
  <c r="N20" i="12"/>
  <c r="P56" i="13"/>
  <c r="AJ9" i="13"/>
  <c r="AI23" i="13"/>
  <c r="AJ24" i="13"/>
  <c r="AI29" i="13"/>
  <c r="AJ29" i="13"/>
  <c r="AI48" i="13"/>
  <c r="AJ50" i="13"/>
  <c r="AJ54" i="13"/>
  <c r="Y57" i="13"/>
  <c r="O58" i="13"/>
  <c r="AI58" i="13" s="1"/>
  <c r="AI60" i="13"/>
  <c r="AI64" i="13"/>
  <c r="AI66" i="13"/>
  <c r="AI70" i="13"/>
  <c r="AI72" i="13"/>
  <c r="AJ75" i="13"/>
  <c r="AJ77" i="13"/>
  <c r="AJ79" i="13"/>
  <c r="AD83" i="13"/>
  <c r="AI84" i="13"/>
  <c r="AI86" i="13"/>
  <c r="AJ87" i="13"/>
  <c r="AI5" i="13"/>
  <c r="AJ8" i="13"/>
  <c r="AI10" i="13"/>
  <c r="AI12" i="13"/>
  <c r="AI14" i="13"/>
  <c r="AI16" i="13"/>
  <c r="AI18" i="13"/>
  <c r="AI20" i="13"/>
  <c r="AI22" i="13"/>
  <c r="AJ23" i="13"/>
  <c r="AI24" i="13"/>
  <c r="AI26" i="13"/>
  <c r="AI28" i="13"/>
  <c r="AJ30" i="13"/>
  <c r="AJ32" i="13"/>
  <c r="AI35" i="13"/>
  <c r="AI37" i="13"/>
  <c r="AI39" i="13"/>
  <c r="AI41" i="13"/>
  <c r="AI43" i="13"/>
  <c r="AJ45" i="13"/>
  <c r="AJ47" i="13"/>
  <c r="AI49" i="13"/>
  <c r="AJ51" i="13"/>
  <c r="AJ53" i="13"/>
  <c r="AJ55" i="13"/>
  <c r="Z59" i="13"/>
  <c r="AJ60" i="13"/>
  <c r="AJ64" i="13"/>
  <c r="AJ66" i="13"/>
  <c r="AI67" i="13"/>
  <c r="AJ70" i="13"/>
  <c r="AJ72" i="13"/>
  <c r="AI75" i="13"/>
  <c r="AI77" i="13"/>
  <c r="AJ82" i="13"/>
  <c r="O12" i="10"/>
  <c r="J23" i="12"/>
  <c r="E7" i="2"/>
  <c r="AI80" i="13"/>
  <c r="AJ80" i="13"/>
  <c r="AD56" i="13"/>
  <c r="P57" i="13"/>
  <c r="AJ57" i="13" s="1"/>
  <c r="AH57" i="13"/>
  <c r="T58" i="13"/>
  <c r="AD58" i="13"/>
  <c r="P59" i="13"/>
  <c r="AG59" i="13"/>
  <c r="T61" i="13"/>
  <c r="AJ61" i="13"/>
  <c r="T73" i="13"/>
  <c r="AH74" i="13"/>
  <c r="AJ74" i="13" s="1"/>
  <c r="T83" i="13"/>
  <c r="Y56" i="13"/>
  <c r="Y58" i="13"/>
  <c r="O73" i="13"/>
  <c r="Y83" i="13"/>
  <c r="Y61" i="13"/>
  <c r="AN80" i="13"/>
  <c r="AM80" i="13"/>
  <c r="N2" i="10"/>
  <c r="O14" i="10"/>
  <c r="N14" i="10"/>
  <c r="M20" i="12"/>
  <c r="F49" i="3"/>
  <c r="F51" i="3"/>
  <c r="F50" i="3"/>
  <c r="F18" i="5"/>
  <c r="J11" i="12"/>
  <c r="F20" i="3"/>
  <c r="K12" i="10"/>
  <c r="J17" i="12"/>
  <c r="J14" i="12"/>
  <c r="L8" i="10"/>
  <c r="J26" i="12"/>
  <c r="K18" i="10"/>
  <c r="T18" i="5"/>
  <c r="J20" i="12"/>
  <c r="K14" i="10"/>
  <c r="K17" i="12"/>
  <c r="K10" i="10"/>
  <c r="F48" i="3"/>
  <c r="M18" i="5"/>
  <c r="K8" i="10"/>
  <c r="K16" i="10"/>
  <c r="E23" i="8"/>
  <c r="D23" i="8" s="1"/>
  <c r="G27" i="6"/>
  <c r="H26" i="6"/>
  <c r="M22" i="7"/>
  <c r="L27" i="6"/>
  <c r="G26" i="6"/>
  <c r="H27" i="6"/>
  <c r="N17" i="12"/>
  <c r="M17" i="12"/>
  <c r="N12" i="10"/>
  <c r="M11" i="12"/>
  <c r="N8" i="10"/>
  <c r="L12" i="10"/>
  <c r="M2" i="12"/>
  <c r="N16" i="10"/>
  <c r="M23" i="12"/>
  <c r="K11" i="12"/>
  <c r="R11" i="12"/>
  <c r="M26" i="12"/>
  <c r="N18" i="10"/>
  <c r="M8" i="12"/>
  <c r="F39" i="3"/>
  <c r="N6" i="10"/>
  <c r="T24" i="5"/>
  <c r="N10" i="10"/>
  <c r="M14" i="12"/>
  <c r="P17" i="12"/>
  <c r="P11" i="12"/>
  <c r="F24" i="5"/>
  <c r="F11" i="3"/>
  <c r="F21" i="3"/>
  <c r="M19" i="5"/>
  <c r="T19" i="5"/>
  <c r="F35" i="3"/>
  <c r="K26" i="12"/>
  <c r="L18" i="10"/>
  <c r="F7" i="3"/>
  <c r="F19" i="5"/>
  <c r="E15" i="8"/>
  <c r="D15" i="8" s="1"/>
  <c r="Q8" i="10"/>
  <c r="K20" i="12"/>
  <c r="L14" i="10"/>
  <c r="H16" i="7"/>
  <c r="F10" i="3"/>
  <c r="F22" i="5"/>
  <c r="K14" i="12"/>
  <c r="L10" i="10"/>
  <c r="L16" i="10"/>
  <c r="K23" i="12"/>
  <c r="T12" i="10"/>
  <c r="Q12" i="10"/>
  <c r="H18" i="7"/>
  <c r="E17" i="8"/>
  <c r="D17" i="8" s="1"/>
  <c r="G28" i="6"/>
  <c r="I27" i="6"/>
  <c r="O8" i="10"/>
  <c r="N11" i="12"/>
  <c r="N23" i="12"/>
  <c r="O16" i="10"/>
  <c r="R17" i="12"/>
  <c r="S12" i="10"/>
  <c r="T17" i="12"/>
  <c r="U12" i="10"/>
  <c r="V12" i="10"/>
  <c r="U17" i="12"/>
  <c r="O10" i="10"/>
  <c r="N14" i="12"/>
  <c r="N26" i="12"/>
  <c r="O18" i="10"/>
  <c r="N8" i="12"/>
  <c r="H17" i="7"/>
  <c r="H13" i="3"/>
  <c r="C13" i="3" s="1"/>
  <c r="R12" i="10"/>
  <c r="S17" i="12"/>
  <c r="H49" i="3"/>
  <c r="S8" i="10"/>
  <c r="Q17" i="12"/>
  <c r="Q4" i="10"/>
  <c r="E13" i="8"/>
  <c r="D13" i="8" s="1"/>
  <c r="P5" i="12"/>
  <c r="H14" i="7"/>
  <c r="E19" i="8"/>
  <c r="D19" i="8" s="1"/>
  <c r="P23" i="12"/>
  <c r="H20" i="7"/>
  <c r="Q16" i="10"/>
  <c r="I16" i="7"/>
  <c r="E18" i="8"/>
  <c r="D18" i="8" s="1"/>
  <c r="H19" i="7"/>
  <c r="P20" i="12"/>
  <c r="Q14" i="10"/>
  <c r="P2" i="12"/>
  <c r="Q2" i="10"/>
  <c r="H13" i="7"/>
  <c r="E12" i="8"/>
  <c r="D12" i="8" s="1"/>
  <c r="E14" i="8"/>
  <c r="D14" i="8" s="1"/>
  <c r="Q6" i="10"/>
  <c r="H15" i="7"/>
  <c r="P8" i="12"/>
  <c r="H28" i="6"/>
  <c r="T16" i="10"/>
  <c r="Q23" i="12"/>
  <c r="V16" i="10"/>
  <c r="S16" i="10"/>
  <c r="P26" i="12"/>
  <c r="Q18" i="10"/>
  <c r="E20" i="8"/>
  <c r="D20" i="8" s="1"/>
  <c r="H21" i="7"/>
  <c r="E16" i="8"/>
  <c r="D16" i="8" s="1"/>
  <c r="S10" i="10"/>
  <c r="U10" i="10"/>
  <c r="U14" i="12"/>
  <c r="P14" i="12"/>
  <c r="Q10" i="10"/>
  <c r="U23" i="12"/>
  <c r="V14" i="10"/>
  <c r="U20" i="12"/>
  <c r="V4" i="10"/>
  <c r="H25" i="3"/>
  <c r="H37" i="3"/>
  <c r="S14" i="10"/>
  <c r="R20" i="12"/>
  <c r="G20" i="6"/>
  <c r="U4" i="10"/>
  <c r="F26" i="5"/>
  <c r="H7" i="3"/>
  <c r="R16" i="10"/>
  <c r="I20" i="7"/>
  <c r="T4" i="10"/>
  <c r="R8" i="12"/>
  <c r="S6" i="10"/>
  <c r="T26" i="5"/>
  <c r="H35" i="3"/>
  <c r="T20" i="12"/>
  <c r="U14" i="10"/>
  <c r="I19" i="7"/>
  <c r="Q20" i="12"/>
  <c r="R14" i="10"/>
  <c r="T23" i="12"/>
  <c r="U16" i="10"/>
  <c r="R23" i="12"/>
  <c r="G24" i="6"/>
  <c r="T6" i="10"/>
  <c r="T2" i="12"/>
  <c r="U2" i="10"/>
  <c r="S20" i="12"/>
  <c r="T14" i="10"/>
  <c r="M26" i="5"/>
  <c r="H21" i="3"/>
  <c r="R5" i="12"/>
  <c r="L28" i="6"/>
  <c r="L26" i="6"/>
  <c r="S23" i="12"/>
  <c r="Q26" i="12"/>
  <c r="R18" i="10"/>
  <c r="I21" i="7"/>
  <c r="U26" i="12"/>
  <c r="V18" i="10"/>
  <c r="S26" i="12"/>
  <c r="T18" i="10"/>
  <c r="R26" i="12"/>
  <c r="S18" i="10"/>
  <c r="T26" i="12"/>
  <c r="U18" i="10"/>
  <c r="R14" i="12"/>
  <c r="V10" i="10"/>
  <c r="T14" i="12"/>
  <c r="Q14" i="12"/>
  <c r="S14" i="12"/>
  <c r="R10" i="10"/>
  <c r="M20" i="7"/>
  <c r="H24" i="6"/>
  <c r="H20" i="6"/>
  <c r="M16" i="7"/>
  <c r="G23" i="6"/>
  <c r="I28" i="6"/>
  <c r="N22" i="7"/>
  <c r="T22" i="7" s="1"/>
  <c r="I26" i="6"/>
  <c r="P22" i="7"/>
  <c r="Q22" i="7" s="1"/>
  <c r="W29" i="12"/>
  <c r="V29" i="12"/>
  <c r="M21" i="7"/>
  <c r="G25" i="6"/>
  <c r="H25" i="6"/>
  <c r="L24" i="6"/>
  <c r="H23" i="6"/>
  <c r="M19" i="7"/>
  <c r="L25" i="6"/>
  <c r="L20" i="6"/>
  <c r="P20" i="7"/>
  <c r="Q20" i="7" s="1"/>
  <c r="N20" i="7"/>
  <c r="S20" i="7" s="1"/>
  <c r="O20" i="7" s="1"/>
  <c r="I24" i="6"/>
  <c r="N16" i="7"/>
  <c r="S16" i="7" s="1"/>
  <c r="I20" i="6"/>
  <c r="N21" i="7"/>
  <c r="S21" i="7" s="1"/>
  <c r="O21" i="7" s="1"/>
  <c r="I25" i="6"/>
  <c r="P16" i="7"/>
  <c r="Q16" i="7" s="1"/>
  <c r="V23" i="12"/>
  <c r="W16" i="10"/>
  <c r="V26" i="12"/>
  <c r="Z18" i="10"/>
  <c r="P21" i="7"/>
  <c r="Q21" i="7" s="1"/>
  <c r="W18" i="10"/>
  <c r="W26" i="12"/>
  <c r="V20" i="12"/>
  <c r="W14" i="10"/>
  <c r="W23" i="12"/>
  <c r="Z16" i="10"/>
  <c r="T8" i="10"/>
  <c r="Q11" i="12"/>
  <c r="N2" i="12"/>
  <c r="S8" i="12"/>
  <c r="H5" i="3"/>
  <c r="U8" i="10"/>
  <c r="R6" i="10"/>
  <c r="H48" i="3"/>
  <c r="S4" i="10"/>
  <c r="H50" i="3"/>
  <c r="O6" i="10"/>
  <c r="H36" i="3"/>
  <c r="R4" i="10"/>
  <c r="Q5" i="12"/>
  <c r="H22" i="3"/>
  <c r="N5" i="12"/>
  <c r="O4" i="10"/>
  <c r="V8" i="10"/>
  <c r="S11" i="12"/>
  <c r="I17" i="7"/>
  <c r="Z14" i="10" l="1"/>
  <c r="AV4" i="1"/>
  <c r="AW4" i="1" s="1"/>
  <c r="BO4" i="1" s="1"/>
  <c r="S22" i="7"/>
  <c r="F22" i="3"/>
  <c r="K4" i="10"/>
  <c r="AM61" i="1"/>
  <c r="T20" i="7"/>
  <c r="T21" i="7"/>
  <c r="L23" i="6"/>
  <c r="H9" i="3"/>
  <c r="S2" i="10"/>
  <c r="I23" i="6"/>
  <c r="U2" i="12"/>
  <c r="I13" i="7"/>
  <c r="R2" i="10"/>
  <c r="L2" i="10"/>
  <c r="J2" i="12"/>
  <c r="F8" i="3"/>
  <c r="AJ56" i="13"/>
  <c r="AJ58" i="13"/>
  <c r="F7" i="2"/>
  <c r="G6" i="2"/>
  <c r="AJ59" i="13"/>
  <c r="AI83" i="13"/>
  <c r="J8" i="12"/>
  <c r="T20" i="5"/>
  <c r="F36" i="3"/>
  <c r="K6" i="10"/>
  <c r="F37" i="3"/>
  <c r="AC59" i="13"/>
  <c r="P83" i="13"/>
  <c r="AJ83" i="13" s="1"/>
  <c r="AR11" i="2"/>
  <c r="J5" i="12"/>
  <c r="AG56" i="13"/>
  <c r="AI56" i="13" s="1"/>
  <c r="S57" i="13"/>
  <c r="AC57" i="13"/>
  <c r="AI57" i="13" s="1"/>
  <c r="S59" i="13"/>
  <c r="AI59" i="13" s="1"/>
  <c r="K2" i="10"/>
  <c r="F20" i="5"/>
  <c r="O16" i="7"/>
  <c r="T16" i="7"/>
  <c r="T2" i="10"/>
  <c r="S2" i="12"/>
  <c r="H11" i="3"/>
  <c r="H8" i="3"/>
  <c r="H34" i="3"/>
  <c r="E26" i="8"/>
  <c r="D26" i="8"/>
  <c r="A13" i="2"/>
  <c r="A15" i="2" s="1"/>
  <c r="A17" i="2" s="1"/>
  <c r="A19" i="2" s="1"/>
  <c r="A21" i="2" s="1"/>
  <c r="A23" i="2" s="1"/>
  <c r="A25" i="2" s="1"/>
  <c r="H20" i="3"/>
  <c r="AI8" i="13"/>
  <c r="AI7" i="13"/>
  <c r="AJ7" i="13"/>
  <c r="G21" i="6"/>
  <c r="T10" i="10"/>
  <c r="I18" i="7"/>
  <c r="M17" i="7"/>
  <c r="H21" i="6"/>
  <c r="H18" i="6" l="1"/>
  <c r="AU4" i="1"/>
  <c r="K5" i="12"/>
  <c r="AY4" i="1"/>
  <c r="AJ4" i="1" s="1"/>
  <c r="AM4" i="1" s="1"/>
  <c r="M14" i="7"/>
  <c r="G18" i="6"/>
  <c r="F23" i="3"/>
  <c r="L4" i="10"/>
  <c r="AT4" i="1"/>
  <c r="M21" i="5"/>
  <c r="K8" i="12"/>
  <c r="T21" i="5"/>
  <c r="L6" i="10"/>
  <c r="N19" i="7"/>
  <c r="T19" i="7" s="1"/>
  <c r="K2" i="12"/>
  <c r="H6" i="3"/>
  <c r="F21" i="5"/>
  <c r="F9" i="3"/>
  <c r="G7" i="2"/>
  <c r="H6" i="2"/>
  <c r="S19" i="7"/>
  <c r="O19" i="7" s="1"/>
  <c r="W12" i="10"/>
  <c r="V17" i="12"/>
  <c r="P19" i="7"/>
  <c r="Q19" i="7" s="1"/>
  <c r="G19" i="6"/>
  <c r="U8" i="12"/>
  <c r="V6" i="10"/>
  <c r="T8" i="12"/>
  <c r="I15" i="7"/>
  <c r="U6" i="10"/>
  <c r="AV3" i="1"/>
  <c r="AW3" i="1" s="1"/>
  <c r="BO3" i="1" s="1"/>
  <c r="A50" i="2"/>
  <c r="G22" i="6"/>
  <c r="M18" i="7"/>
  <c r="H22" i="6"/>
  <c r="L21" i="6"/>
  <c r="AX4" i="1" l="1"/>
  <c r="BG4" i="1" s="1"/>
  <c r="L18" i="6"/>
  <c r="H7" i="2"/>
  <c r="I6" i="2"/>
  <c r="Z12" i="10"/>
  <c r="W17" i="12"/>
  <c r="H19" i="6"/>
  <c r="M15" i="7"/>
  <c r="AV61" i="1"/>
  <c r="H11" i="6" s="1"/>
  <c r="G17" i="6"/>
  <c r="K49" i="2"/>
  <c r="L49" i="2"/>
  <c r="AD49" i="2"/>
  <c r="Q49" i="2"/>
  <c r="W49" i="2"/>
  <c r="I49" i="2"/>
  <c r="M49" i="2"/>
  <c r="AE49" i="2"/>
  <c r="V49" i="2"/>
  <c r="N49" i="2"/>
  <c r="AB49" i="2"/>
  <c r="G49" i="2"/>
  <c r="F49" i="2"/>
  <c r="AG49" i="2"/>
  <c r="AH49" i="2"/>
  <c r="AC49" i="2"/>
  <c r="R49" i="2"/>
  <c r="D49" i="2"/>
  <c r="AF49" i="2"/>
  <c r="J49" i="2"/>
  <c r="T49" i="2"/>
  <c r="X49" i="2"/>
  <c r="O49" i="2"/>
  <c r="A52" i="2"/>
  <c r="G52" i="2" s="1"/>
  <c r="Y49" i="2"/>
  <c r="U49" i="2"/>
  <c r="AA49" i="2"/>
  <c r="Z49" i="2"/>
  <c r="P49" i="2"/>
  <c r="S49" i="2"/>
  <c r="H49" i="2"/>
  <c r="E49" i="2"/>
  <c r="L22" i="6"/>
  <c r="I21" i="6"/>
  <c r="N17" i="7"/>
  <c r="V11" i="12"/>
  <c r="P17" i="7"/>
  <c r="Q17" i="7" s="1"/>
  <c r="W8" i="10"/>
  <c r="V5" i="12"/>
  <c r="J6" i="5"/>
  <c r="W4" i="10"/>
  <c r="P14" i="7"/>
  <c r="BH4" i="1" l="1"/>
  <c r="BA4" i="1"/>
  <c r="BE4" i="1"/>
  <c r="I18" i="6"/>
  <c r="N14" i="7"/>
  <c r="S14" i="7" s="1"/>
  <c r="O14" i="7" s="1"/>
  <c r="BB4" i="1"/>
  <c r="BC4" i="1"/>
  <c r="BF4" i="1"/>
  <c r="AZ4" i="1"/>
  <c r="BD4" i="1"/>
  <c r="I7" i="2"/>
  <c r="J6" i="2"/>
  <c r="L19" i="6"/>
  <c r="AW61" i="1"/>
  <c r="H12" i="6" s="1"/>
  <c r="AT3" i="1"/>
  <c r="AY3" i="1"/>
  <c r="AJ3" i="1" s="1"/>
  <c r="H17" i="6"/>
  <c r="AU3" i="1"/>
  <c r="M13" i="7"/>
  <c r="V14" i="12"/>
  <c r="P18" i="7"/>
  <c r="Q18" i="7" s="1"/>
  <c r="W10" i="10"/>
  <c r="I22" i="6"/>
  <c r="N18" i="7"/>
  <c r="Z8" i="10"/>
  <c r="W11" i="12"/>
  <c r="S17" i="7"/>
  <c r="O17" i="7" s="1"/>
  <c r="T17" i="7"/>
  <c r="W5" i="12"/>
  <c r="Z4" i="10"/>
  <c r="T14" i="7"/>
  <c r="Q14" i="7"/>
  <c r="J7" i="2" l="1"/>
  <c r="K6" i="2"/>
  <c r="P15" i="7"/>
  <c r="Q15" i="7" s="1"/>
  <c r="W6" i="10"/>
  <c r="V8" i="12"/>
  <c r="Q6" i="5"/>
  <c r="N15" i="7"/>
  <c r="I19" i="6"/>
  <c r="AY61" i="1"/>
  <c r="L17" i="6"/>
  <c r="L11" i="6" s="1"/>
  <c r="AX3" i="1"/>
  <c r="S18" i="7"/>
  <c r="O18" i="7" s="1"/>
  <c r="T18" i="7"/>
  <c r="Z10" i="10"/>
  <c r="W14" i="12"/>
  <c r="K7" i="2" l="1"/>
  <c r="L6" i="2"/>
  <c r="Z6" i="10"/>
  <c r="W8" i="12"/>
  <c r="T15" i="7"/>
  <c r="S15" i="7"/>
  <c r="O15" i="7" s="1"/>
  <c r="W2" i="10"/>
  <c r="AM3" i="1"/>
  <c r="C6" i="5"/>
  <c r="P13" i="7"/>
  <c r="V2" i="12"/>
  <c r="BA71" i="1"/>
  <c r="BC71" i="1"/>
  <c r="BD71" i="1"/>
  <c r="BG71" i="1"/>
  <c r="AZ71" i="1"/>
  <c r="BE71" i="1"/>
  <c r="AZ3" i="1"/>
  <c r="BA3" i="1"/>
  <c r="BF71" i="1"/>
  <c r="BE3" i="1"/>
  <c r="N13" i="7"/>
  <c r="BH3" i="1"/>
  <c r="BF3" i="1"/>
  <c r="BG3" i="1"/>
  <c r="BD3" i="1"/>
  <c r="BB71" i="1"/>
  <c r="BC3" i="1"/>
  <c r="I17" i="6"/>
  <c r="BB3" i="1"/>
  <c r="BH71" i="1"/>
  <c r="M6" i="2" l="1"/>
  <c r="L7" i="2"/>
  <c r="BH61" i="1"/>
  <c r="BH69" i="1"/>
  <c r="BH67" i="1"/>
  <c r="BA61" i="1"/>
  <c r="BA69" i="1"/>
  <c r="BA67" i="1"/>
  <c r="W2" i="12"/>
  <c r="Z2" i="10"/>
  <c r="BC67" i="1"/>
  <c r="BC69" i="1"/>
  <c r="BC61" i="1"/>
  <c r="BF69" i="1"/>
  <c r="BF61" i="1"/>
  <c r="BF67" i="1"/>
  <c r="BG61" i="1"/>
  <c r="BG69" i="1"/>
  <c r="BG67" i="1"/>
  <c r="BE61" i="1"/>
  <c r="BE69" i="1"/>
  <c r="BE67" i="1"/>
  <c r="BB67" i="1"/>
  <c r="BB69" i="1"/>
  <c r="BB61" i="1"/>
  <c r="BD69" i="1"/>
  <c r="BD67" i="1"/>
  <c r="BD61" i="1"/>
  <c r="S13" i="7"/>
  <c r="O13" i="7" s="1"/>
  <c r="T13" i="7"/>
  <c r="AZ67" i="1"/>
  <c r="AZ61" i="1"/>
  <c r="AZ69" i="1"/>
  <c r="Q13" i="7"/>
  <c r="Q12" i="7" s="1"/>
  <c r="P12" i="7"/>
  <c r="N6" i="2" l="1"/>
  <c r="M7" i="2"/>
  <c r="AZ73" i="1"/>
  <c r="AZ75" i="1" s="1"/>
  <c r="O6" i="2" l="1"/>
  <c r="N7" i="2"/>
  <c r="P6" i="2" l="1"/>
  <c r="O7" i="2"/>
  <c r="Q6" i="2" l="1"/>
  <c r="P7" i="2"/>
  <c r="R6" i="2" l="1"/>
  <c r="Q7" i="2"/>
  <c r="S6" i="2" l="1"/>
  <c r="R7" i="2"/>
  <c r="T6" i="2" l="1"/>
  <c r="S7" i="2"/>
  <c r="T7" i="2" l="1"/>
  <c r="U6" i="2"/>
  <c r="U7" i="2" l="1"/>
  <c r="V6" i="2"/>
  <c r="V7" i="2" l="1"/>
  <c r="W6" i="2"/>
  <c r="X6" i="2" l="1"/>
  <c r="W7" i="2"/>
  <c r="Y6" i="2" l="1"/>
  <c r="X7" i="2"/>
  <c r="Y7" i="2" l="1"/>
  <c r="Z6" i="2"/>
  <c r="Z7" i="2" l="1"/>
  <c r="AA6" i="2"/>
  <c r="AA7" i="2" l="1"/>
  <c r="AB6" i="2"/>
  <c r="AC6" i="2" l="1"/>
  <c r="AB7" i="2"/>
  <c r="AC7" i="2" l="1"/>
  <c r="AD6" i="2"/>
  <c r="AE6" i="2" l="1"/>
  <c r="AD7" i="2"/>
  <c r="AE7" i="2" l="1"/>
  <c r="AF6" i="2"/>
  <c r="AF7" i="2" l="1"/>
  <c r="AG6" i="2"/>
  <c r="AG7" i="2" l="1"/>
  <c r="AH6" i="2"/>
  <c r="AH7" i="2" s="1"/>
</calcChain>
</file>

<file path=xl/sharedStrings.xml><?xml version="1.0" encoding="utf-8"?>
<sst xmlns="http://schemas.openxmlformats.org/spreadsheetml/2006/main" count="2024" uniqueCount="1027">
  <si>
    <t>不扣税基数</t>
  </si>
  <si>
    <t>养</t>
  </si>
  <si>
    <t>失</t>
  </si>
  <si>
    <t>医</t>
  </si>
  <si>
    <t>房</t>
  </si>
  <si>
    <t>姓   名</t>
  </si>
  <si>
    <t>基 本 工 资</t>
  </si>
  <si>
    <t>岗 位     工 资</t>
    <phoneticPr fontId="3" type="noConversion"/>
  </si>
  <si>
    <t>交通补贴</t>
    <phoneticPr fontId="14" type="noConversion"/>
  </si>
  <si>
    <t>公务补贴</t>
    <phoneticPr fontId="14" type="noConversion"/>
  </si>
  <si>
    <t>电话补贴</t>
    <phoneticPr fontId="14" type="noConversion"/>
  </si>
  <si>
    <t>车补</t>
    <phoneticPr fontId="14" type="noConversion"/>
  </si>
  <si>
    <t>午餐补贴</t>
    <phoneticPr fontId="14" type="noConversion"/>
  </si>
  <si>
    <t>司龄补</t>
    <phoneticPr fontId="14" type="noConversion"/>
  </si>
  <si>
    <t>加 班      天 数</t>
  </si>
  <si>
    <t>加  班         工  资</t>
    <phoneticPr fontId="3" type="noConversion"/>
  </si>
  <si>
    <t>奖    金</t>
    <phoneticPr fontId="3" type="noConversion"/>
  </si>
  <si>
    <t>缺 勤  天 数</t>
    <phoneticPr fontId="3" type="noConversion"/>
  </si>
  <si>
    <t>考勤应扣</t>
    <phoneticPr fontId="3" type="noConversion"/>
  </si>
  <si>
    <t>工 资 总 额</t>
  </si>
  <si>
    <t>养    老      保    险</t>
  </si>
  <si>
    <t>失   业      保   险</t>
  </si>
  <si>
    <t>医   疗      保   险</t>
  </si>
  <si>
    <t>代扣个人     所 得 税</t>
    <phoneticPr fontId="3" type="noConversion"/>
  </si>
  <si>
    <t>实 发 工 资</t>
  </si>
  <si>
    <t>银行工资卡号</t>
    <phoneticPr fontId="3" type="noConversion"/>
  </si>
  <si>
    <t>签  字</t>
  </si>
  <si>
    <t>部 门</t>
  </si>
  <si>
    <t>身 份 证 号</t>
  </si>
  <si>
    <t>税率(%)</t>
  </si>
  <si>
    <t>纳 税 人      收 入 额</t>
  </si>
  <si>
    <t>应    税     所 得 额</t>
  </si>
  <si>
    <t>本次实缴   税   额</t>
  </si>
  <si>
    <t>5%</t>
  </si>
  <si>
    <t>10%</t>
  </si>
  <si>
    <t>15%</t>
  </si>
  <si>
    <t>20%</t>
  </si>
  <si>
    <t>25%</t>
  </si>
  <si>
    <t>30%</t>
  </si>
  <si>
    <t>35%</t>
  </si>
  <si>
    <t>40%</t>
  </si>
  <si>
    <t>45%</t>
  </si>
  <si>
    <t>级数</t>
  </si>
  <si>
    <t>应纳税工薪收入</t>
  </si>
  <si>
    <t>上一范围上限</t>
  </si>
  <si>
    <t>税率</t>
  </si>
  <si>
    <t>扣除数</t>
  </si>
  <si>
    <t>001</t>
  </si>
  <si>
    <t>一平</t>
    <phoneticPr fontId="3" type="noConversion"/>
  </si>
  <si>
    <t>管理部</t>
  </si>
  <si>
    <t>002</t>
  </si>
  <si>
    <t>凌空</t>
    <phoneticPr fontId="3" type="noConversion"/>
  </si>
  <si>
    <t>朝晖</t>
    <phoneticPr fontId="3" type="noConversion"/>
  </si>
  <si>
    <t>合 计</t>
  </si>
  <si>
    <t>税         率 ：</t>
    <phoneticPr fontId="3" type="noConversion"/>
  </si>
  <si>
    <t>分级纳税额合计 ：</t>
  </si>
  <si>
    <t>分级 纳 税 人 数 ：</t>
  </si>
  <si>
    <t>分级纳税所得额 ：</t>
  </si>
  <si>
    <t>所得税纳税总额 ：</t>
  </si>
  <si>
    <t>税与工资表核对 ：</t>
  </si>
  <si>
    <t>今天是公元:</t>
    <phoneticPr fontId="3" type="noConversion"/>
  </si>
  <si>
    <t>本月工作日为:</t>
    <phoneticPr fontId="3" type="noConversion"/>
  </si>
  <si>
    <t>天</t>
    <phoneticPr fontId="3" type="noConversion"/>
  </si>
  <si>
    <t>序号</t>
    <phoneticPr fontId="3" type="noConversion"/>
  </si>
  <si>
    <t>姓  名</t>
    <phoneticPr fontId="3" type="noConversion"/>
  </si>
  <si>
    <t>时 间</t>
    <phoneticPr fontId="3" type="noConversion"/>
  </si>
  <si>
    <t>出勤</t>
    <phoneticPr fontId="3" type="noConversion"/>
  </si>
  <si>
    <t>病假</t>
    <phoneticPr fontId="3" type="noConversion"/>
  </si>
  <si>
    <t>事假</t>
    <phoneticPr fontId="3" type="noConversion"/>
  </si>
  <si>
    <t>婚假</t>
    <phoneticPr fontId="3" type="noConversion"/>
  </si>
  <si>
    <t>丧假</t>
    <phoneticPr fontId="3" type="noConversion"/>
  </si>
  <si>
    <t>年假</t>
    <phoneticPr fontId="3" type="noConversion"/>
  </si>
  <si>
    <t>生育</t>
    <phoneticPr fontId="3" type="noConversion"/>
  </si>
  <si>
    <t>倒休</t>
    <phoneticPr fontId="3" type="noConversion"/>
  </si>
  <si>
    <t>加班</t>
  </si>
  <si>
    <t>个 人 月   出 勒 率</t>
    <phoneticPr fontId="3" type="noConversion"/>
  </si>
  <si>
    <t>上 午</t>
    <phoneticPr fontId="3" type="noConversion"/>
  </si>
  <si>
    <t>下 午</t>
    <phoneticPr fontId="3" type="noConversion"/>
  </si>
  <si>
    <t>下 午</t>
    <phoneticPr fontId="3" type="noConversion"/>
  </si>
  <si>
    <t>上 午</t>
    <phoneticPr fontId="3" type="noConversion"/>
  </si>
  <si>
    <r>
      <t>选中需要添加单位的单元格（区域），执行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格式</t>
    </r>
    <r>
      <rPr>
        <sz val="10"/>
        <color indexed="8"/>
        <rFont val="Arial"/>
        <family val="2"/>
      </rPr>
      <t>→</t>
    </r>
    <r>
      <rPr>
        <sz val="10"/>
        <color indexed="8"/>
        <rFont val="宋体"/>
        <family val="3"/>
        <charset val="134"/>
      </rPr>
      <t>单元格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命令，打开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单元格格式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对话框，在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数值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标签中，选中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分类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下面的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自定义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选项，然后在右侧的</t>
    </r>
    <r>
      <rPr>
        <sz val="10"/>
        <color indexed="8"/>
        <rFont val="Arial"/>
        <family val="2"/>
      </rPr>
      <t>“</t>
    </r>
    <r>
      <rPr>
        <sz val="10"/>
        <color indexed="8"/>
        <rFont val="宋体"/>
        <family val="3"/>
        <charset val="134"/>
      </rPr>
      <t>类型</t>
    </r>
    <r>
      <rPr>
        <sz val="10"/>
        <color indexed="8"/>
        <rFont val="Arial"/>
        <family val="2"/>
      </rPr>
      <t>”</t>
    </r>
    <r>
      <rPr>
        <sz val="10"/>
        <color indexed="8"/>
        <rFont val="宋体"/>
        <family val="3"/>
        <charset val="134"/>
      </rPr>
      <t>下面的方框中输入</t>
    </r>
    <r>
      <rPr>
        <sz val="10"/>
        <color indexed="8"/>
        <rFont val="Arial"/>
        <family val="2"/>
      </rPr>
      <t>“#.00"</t>
    </r>
    <r>
      <rPr>
        <sz val="10"/>
        <color indexed="8"/>
        <rFont val="宋体"/>
        <family val="3"/>
        <charset val="134"/>
      </rPr>
      <t>元</t>
    </r>
    <r>
      <rPr>
        <sz val="10"/>
        <color indexed="8"/>
        <rFont val="Arial"/>
        <family val="2"/>
      </rPr>
      <t>"”</t>
    </r>
    <r>
      <rPr>
        <sz val="10"/>
        <color indexed="8"/>
        <rFont val="宋体"/>
        <family val="3"/>
        <charset val="134"/>
      </rPr>
      <t>，确定返回即可。</t>
    </r>
    <r>
      <rPr>
        <sz val="10"/>
        <color indexed="8"/>
        <rFont val="Arial"/>
        <family val="2"/>
      </rPr>
      <t xml:space="preserve"> </t>
    </r>
  </si>
  <si>
    <t>下 午</t>
    <phoneticPr fontId="3" type="noConversion"/>
  </si>
  <si>
    <t>合   计</t>
    <phoneticPr fontId="3" type="noConversion"/>
  </si>
  <si>
    <t>病假</t>
  </si>
  <si>
    <t>人数</t>
    <phoneticPr fontId="3" type="noConversion"/>
  </si>
  <si>
    <t>每   天  出 勒 率</t>
    <phoneticPr fontId="3" type="noConversion"/>
  </si>
  <si>
    <t>累计人数</t>
    <phoneticPr fontId="3" type="noConversion"/>
  </si>
  <si>
    <t>累计出勤天数</t>
    <phoneticPr fontId="3" type="noConversion"/>
  </si>
  <si>
    <t>本月出勤率</t>
    <phoneticPr fontId="3" type="noConversion"/>
  </si>
  <si>
    <t>所属期间：</t>
    <phoneticPr fontId="14" type="noConversion"/>
  </si>
  <si>
    <t>员工姓名</t>
  </si>
  <si>
    <t>员工 ID</t>
  </si>
  <si>
    <r>
      <t>基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本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</si>
  <si>
    <r>
      <t>司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龄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</si>
  <si>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t>养老保险</t>
  </si>
  <si>
    <r>
      <t>岗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位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</si>
  <si>
    <r>
      <t>加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班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  <phoneticPr fontId="3" type="noConversion"/>
  </si>
  <si>
    <t>失业保险</t>
  </si>
  <si>
    <r>
      <t>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通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</si>
  <si>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奖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金</t>
    </r>
    <phoneticPr fontId="3" type="noConversion"/>
  </si>
  <si>
    <t>医疗保险</t>
  </si>
  <si>
    <r>
      <t>公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务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</si>
  <si>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缺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天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数</t>
    </r>
    <phoneticPr fontId="3" type="noConversion"/>
  </si>
  <si>
    <t>住房公积金</t>
  </si>
  <si>
    <r>
      <t>电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话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</si>
  <si>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</si>
  <si>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t>其他扣款</t>
  </si>
  <si>
    <r>
      <t>车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补</t>
    </r>
    <phoneticPr fontId="3" type="noConversion"/>
  </si>
  <si>
    <r>
      <t>其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</si>
  <si>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r>
      <t>午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餐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</si>
  <si>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总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额</t>
    </r>
  </si>
  <si>
    <t>代扣个人所得税</t>
    <phoneticPr fontId="14" type="noConversion"/>
  </si>
  <si>
    <t>领款人签名 ：</t>
    <phoneticPr fontId="14" type="noConversion"/>
  </si>
  <si>
    <t>实发工资</t>
  </si>
  <si>
    <t>某信息技术有限公司</t>
    <phoneticPr fontId="14" type="noConversion"/>
  </si>
  <si>
    <t>所属期间：</t>
    <phoneticPr fontId="14" type="noConversion"/>
  </si>
  <si>
    <t>002</t>
    <phoneticPr fontId="14" type="noConversion"/>
  </si>
  <si>
    <r>
      <t>司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龄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</si>
  <si>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加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班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  <phoneticPr fontId="3" type="noConversion"/>
  </si>
  <si>
    <r>
      <t>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通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</si>
  <si>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奖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金</t>
    </r>
    <phoneticPr fontId="3" type="noConversion"/>
  </si>
  <si>
    <r>
      <t>公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务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</si>
  <si>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缺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天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数</t>
    </r>
    <phoneticPr fontId="3" type="noConversion"/>
  </si>
  <si>
    <r>
      <t>电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话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</si>
  <si>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</si>
  <si>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r>
      <t>车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补</t>
    </r>
    <phoneticPr fontId="3" type="noConversion"/>
  </si>
  <si>
    <r>
      <t>其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</si>
  <si>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r>
      <t>午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餐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</si>
  <si>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t>代扣个人所得税</t>
    <phoneticPr fontId="14" type="noConversion"/>
  </si>
  <si>
    <t>领款人签名 ：</t>
    <phoneticPr fontId="14" type="noConversion"/>
  </si>
  <si>
    <t>某信息技术有限公司</t>
    <phoneticPr fontId="14" type="noConversion"/>
  </si>
  <si>
    <t>所属期间：</t>
    <phoneticPr fontId="14" type="noConversion"/>
  </si>
  <si>
    <t>003</t>
    <phoneticPr fontId="14" type="noConversion"/>
  </si>
  <si>
    <r>
      <t>司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龄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</si>
  <si>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加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班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  <phoneticPr fontId="3" type="noConversion"/>
  </si>
  <si>
    <r>
      <t>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通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</si>
  <si>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奖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金</t>
    </r>
    <phoneticPr fontId="3" type="noConversion"/>
  </si>
  <si>
    <r>
      <t>公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务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</si>
  <si>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缺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天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数</t>
    </r>
    <phoneticPr fontId="3" type="noConversion"/>
  </si>
  <si>
    <r>
      <t>电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话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</si>
  <si>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</si>
  <si>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r>
      <t>车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补</t>
    </r>
    <phoneticPr fontId="3" type="noConversion"/>
  </si>
  <si>
    <r>
      <t>其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</si>
  <si>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r>
      <t>午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餐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</si>
  <si>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t>代扣个人所得税</t>
    <phoneticPr fontId="14" type="noConversion"/>
  </si>
  <si>
    <t>领款人签名 ：</t>
    <phoneticPr fontId="14" type="noConversion"/>
  </si>
  <si>
    <t>某信息技术有限公司</t>
    <phoneticPr fontId="14" type="noConversion"/>
  </si>
  <si>
    <t>所属期间：</t>
    <phoneticPr fontId="14" type="noConversion"/>
  </si>
  <si>
    <r>
      <t>司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龄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</si>
  <si>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加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班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资</t>
    </r>
    <phoneticPr fontId="3" type="noConversion"/>
  </si>
  <si>
    <r>
      <t>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通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</si>
  <si>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奖</t>
    </r>
    <r>
      <rPr>
        <sz val="9"/>
        <rFont val="Arial"/>
        <family val="2"/>
      </rPr>
      <t xml:space="preserve">           </t>
    </r>
    <r>
      <rPr>
        <sz val="9"/>
        <rFont val="宋体"/>
        <family val="3"/>
        <charset val="134"/>
      </rPr>
      <t>金</t>
    </r>
    <phoneticPr fontId="3" type="noConversion"/>
  </si>
  <si>
    <r>
      <t>公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务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</si>
  <si>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缺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天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数</t>
    </r>
    <phoneticPr fontId="3" type="noConversion"/>
  </si>
  <si>
    <r>
      <t>电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话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补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贴</t>
    </r>
    <phoneticPr fontId="3" type="noConversion"/>
  </si>
  <si>
    <r>
      <t>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勤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应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扣</t>
    </r>
    <phoneticPr fontId="3" type="noConversion"/>
  </si>
  <si>
    <t>某开发有限公司</t>
    <phoneticPr fontId="3" type="noConversion"/>
  </si>
  <si>
    <r>
      <t>工</t>
    </r>
    <r>
      <rPr>
        <b/>
        <sz val="18"/>
        <color indexed="8"/>
        <rFont val="Times New Roman"/>
        <family val="1"/>
      </rPr>
      <t xml:space="preserve">    </t>
    </r>
    <r>
      <rPr>
        <b/>
        <sz val="18"/>
        <color indexed="8"/>
        <rFont val="宋体"/>
        <family val="3"/>
        <charset val="134"/>
      </rPr>
      <t>资</t>
    </r>
    <r>
      <rPr>
        <b/>
        <sz val="18"/>
        <color indexed="8"/>
        <rFont val="Times New Roman"/>
        <family val="1"/>
      </rPr>
      <t xml:space="preserve">    </t>
    </r>
    <r>
      <rPr>
        <b/>
        <sz val="18"/>
        <color indexed="8"/>
        <rFont val="宋体"/>
        <family val="3"/>
        <charset val="134"/>
      </rPr>
      <t>单</t>
    </r>
    <phoneticPr fontId="3" type="noConversion"/>
  </si>
  <si>
    <t>PAY PAYRoll</t>
    <phoneticPr fontId="3" type="noConversion"/>
  </si>
  <si>
    <r>
      <t>编号</t>
    </r>
    <r>
      <rPr>
        <sz val="10"/>
        <color indexed="8"/>
        <rFont val="Times New Roman"/>
        <family val="1"/>
      </rPr>
      <t>Salary Code</t>
    </r>
    <r>
      <rPr>
        <sz val="10"/>
        <color indexed="8"/>
        <rFont val="宋体"/>
        <family val="3"/>
        <charset val="134"/>
      </rPr>
      <t>：</t>
    </r>
    <phoneticPr fontId="3" type="noConversion"/>
  </si>
  <si>
    <r>
      <t>编号</t>
    </r>
    <r>
      <rPr>
        <sz val="10"/>
        <color indexed="8"/>
        <rFont val="Times New Roman"/>
        <family val="1"/>
      </rPr>
      <t>Salary Code</t>
    </r>
    <r>
      <rPr>
        <sz val="10"/>
        <color indexed="8"/>
        <rFont val="宋体"/>
        <family val="3"/>
        <charset val="134"/>
      </rPr>
      <t>：</t>
    </r>
    <phoneticPr fontId="3" type="noConversion"/>
  </si>
  <si>
    <t>001</t>
    <phoneticPr fontId="3" type="noConversion"/>
  </si>
  <si>
    <r>
      <t>月</t>
    </r>
    <r>
      <rPr>
        <sz val="10"/>
        <color indexed="8"/>
        <rFont val="Times New Roman"/>
        <family val="1"/>
      </rPr>
      <t xml:space="preserve">   </t>
    </r>
    <r>
      <rPr>
        <sz val="10"/>
        <color indexed="8"/>
        <rFont val="宋体"/>
        <family val="3"/>
        <charset val="134"/>
      </rPr>
      <t>份</t>
    </r>
    <r>
      <rPr>
        <sz val="10"/>
        <color indexed="8"/>
        <rFont val="Times New Roman"/>
        <family val="1"/>
      </rPr>
      <t/>
    </r>
    <phoneticPr fontId="3" type="noConversion"/>
  </si>
  <si>
    <r>
      <t>月</t>
    </r>
    <r>
      <rPr>
        <sz val="10"/>
        <color indexed="8"/>
        <rFont val="Times New Roman"/>
        <family val="1"/>
      </rPr>
      <t xml:space="preserve">   </t>
    </r>
    <r>
      <rPr>
        <sz val="10"/>
        <color indexed="8"/>
        <rFont val="宋体"/>
        <family val="3"/>
        <charset val="134"/>
      </rPr>
      <t>份</t>
    </r>
    <r>
      <rPr>
        <sz val="10"/>
        <color indexed="8"/>
        <rFont val="Times New Roman"/>
        <family val="1"/>
      </rPr>
      <t/>
    </r>
    <phoneticPr fontId="3" type="noConversion"/>
  </si>
  <si>
    <r>
      <t>编号</t>
    </r>
    <r>
      <rPr>
        <sz val="10"/>
        <color indexed="8"/>
        <rFont val="Times New Roman"/>
        <family val="1"/>
      </rPr>
      <t>Salary Code</t>
    </r>
    <r>
      <rPr>
        <sz val="10"/>
        <color indexed="8"/>
        <rFont val="宋体"/>
        <family val="3"/>
        <charset val="134"/>
      </rPr>
      <t>：</t>
    </r>
    <phoneticPr fontId="3" type="noConversion"/>
  </si>
  <si>
    <t>002</t>
    <phoneticPr fontId="3" type="noConversion"/>
  </si>
  <si>
    <r>
      <t>月</t>
    </r>
    <r>
      <rPr>
        <sz val="10"/>
        <color indexed="8"/>
        <rFont val="Times New Roman"/>
        <family val="1"/>
      </rPr>
      <t xml:space="preserve">   </t>
    </r>
    <r>
      <rPr>
        <sz val="10"/>
        <color indexed="8"/>
        <rFont val="宋体"/>
        <family val="3"/>
        <charset val="134"/>
      </rPr>
      <t>份</t>
    </r>
    <r>
      <rPr>
        <sz val="10"/>
        <color indexed="8"/>
        <rFont val="Times New Roman"/>
        <family val="1"/>
      </rPr>
      <t/>
    </r>
    <phoneticPr fontId="3" type="noConversion"/>
  </si>
  <si>
    <t>003</t>
    <phoneticPr fontId="3" type="noConversion"/>
  </si>
  <si>
    <r>
      <t>部門</t>
    </r>
    <r>
      <rPr>
        <sz val="10"/>
        <color indexed="8"/>
        <rFont val="Times New Roman"/>
        <family val="1"/>
      </rPr>
      <t>Department</t>
    </r>
    <r>
      <rPr>
        <sz val="10"/>
        <color indexed="8"/>
        <rFont val="宋体"/>
        <family val="3"/>
        <charset val="134"/>
      </rPr>
      <t>：</t>
    </r>
    <phoneticPr fontId="3" type="noConversion"/>
  </si>
  <si>
    <t xml:space="preserve">Month </t>
    <phoneticPr fontId="3" type="noConversion"/>
  </si>
  <si>
    <r>
      <t>部門</t>
    </r>
    <r>
      <rPr>
        <sz val="10"/>
        <color indexed="8"/>
        <rFont val="Times New Roman"/>
        <family val="1"/>
      </rPr>
      <t>Department</t>
    </r>
    <r>
      <rPr>
        <sz val="10"/>
        <color indexed="8"/>
        <rFont val="宋体"/>
        <family val="3"/>
        <charset val="134"/>
      </rPr>
      <t>：</t>
    </r>
    <phoneticPr fontId="3" type="noConversion"/>
  </si>
  <si>
    <r>
      <t>姓</t>
    </r>
    <r>
      <rPr>
        <sz val="10"/>
        <color indexed="8"/>
        <rFont val="Times New Roman"/>
        <family val="1"/>
      </rPr>
      <t xml:space="preserve">  </t>
    </r>
    <r>
      <rPr>
        <sz val="10"/>
        <color indexed="8"/>
        <rFont val="宋体"/>
        <family val="3"/>
        <charset val="134"/>
      </rPr>
      <t>名</t>
    </r>
    <r>
      <rPr>
        <sz val="10"/>
        <color indexed="8"/>
        <rFont val="Times New Roman"/>
        <family val="1"/>
      </rPr>
      <t>Name</t>
    </r>
    <r>
      <rPr>
        <sz val="10"/>
        <color indexed="8"/>
        <rFont val="宋体"/>
        <family val="3"/>
        <charset val="134"/>
      </rPr>
      <t>：</t>
    </r>
    <phoneticPr fontId="3" type="noConversion"/>
  </si>
  <si>
    <r>
      <t>工</t>
    </r>
    <r>
      <rPr>
        <sz val="12"/>
        <color indexed="18"/>
        <rFont val="Times New Roman"/>
        <family val="1"/>
      </rPr>
      <t xml:space="preserve">    </t>
    </r>
    <r>
      <rPr>
        <sz val="12"/>
        <color indexed="18"/>
        <rFont val="宋体"/>
        <family val="3"/>
        <charset val="134"/>
      </rPr>
      <t>资</t>
    </r>
    <r>
      <rPr>
        <sz val="12"/>
        <color indexed="18"/>
        <rFont val="Times New Roman"/>
        <family val="1"/>
      </rPr>
      <t xml:space="preserve">    </t>
    </r>
    <r>
      <rPr>
        <sz val="12"/>
        <color indexed="18"/>
        <rFont val="宋体"/>
        <family val="3"/>
        <charset val="134"/>
      </rPr>
      <t>项</t>
    </r>
    <r>
      <rPr>
        <sz val="12"/>
        <color indexed="18"/>
        <rFont val="Times New Roman"/>
        <family val="1"/>
      </rPr>
      <t xml:space="preserve">    </t>
    </r>
    <r>
      <rPr>
        <sz val="12"/>
        <color indexed="18"/>
        <rFont val="宋体"/>
        <family val="3"/>
        <charset val="134"/>
      </rPr>
      <t>目</t>
    </r>
    <phoneticPr fontId="3" type="noConversion"/>
  </si>
  <si>
    <r>
      <t>金</t>
    </r>
    <r>
      <rPr>
        <sz val="12"/>
        <color indexed="18"/>
        <rFont val="Times New Roman"/>
        <family val="1"/>
      </rPr>
      <t xml:space="preserve">  </t>
    </r>
    <r>
      <rPr>
        <sz val="12"/>
        <color indexed="18"/>
        <rFont val="宋体"/>
        <family val="3"/>
        <charset val="134"/>
      </rPr>
      <t>额</t>
    </r>
    <r>
      <rPr>
        <sz val="12"/>
        <color indexed="18"/>
        <rFont val="Times New Roman"/>
        <family val="1"/>
      </rPr>
      <t xml:space="preserve">  Amount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</si>
  <si>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基</t>
    </r>
    <r>
      <rPr>
        <sz val="10"/>
        <color indexed="18"/>
        <rFont val="Times New Roman"/>
        <family val="1"/>
      </rPr>
      <t xml:space="preserve">     </t>
    </r>
    <r>
      <rPr>
        <sz val="10"/>
        <color indexed="18"/>
        <rFont val="宋体"/>
        <family val="3"/>
        <charset val="134"/>
      </rPr>
      <t>本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工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资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</si>
  <si>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岗</t>
    </r>
    <r>
      <rPr>
        <sz val="10"/>
        <color indexed="18"/>
        <rFont val="Times New Roman"/>
        <family val="1"/>
      </rPr>
      <t xml:space="preserve">     </t>
    </r>
    <r>
      <rPr>
        <sz val="10"/>
        <color indexed="18"/>
        <rFont val="宋体"/>
        <family val="3"/>
        <charset val="134"/>
      </rPr>
      <t>位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工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资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</si>
  <si>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加</t>
    </r>
    <r>
      <rPr>
        <sz val="10"/>
        <color indexed="18"/>
        <rFont val="Times New Roman"/>
        <family val="1"/>
      </rPr>
      <t xml:space="preserve">     </t>
    </r>
    <r>
      <rPr>
        <sz val="10"/>
        <color indexed="18"/>
        <rFont val="宋体"/>
        <family val="3"/>
        <charset val="134"/>
      </rPr>
      <t>班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工</t>
    </r>
    <r>
      <rPr>
        <sz val="10"/>
        <color indexed="18"/>
        <rFont val="Times New Roman"/>
        <family val="1"/>
      </rPr>
      <t xml:space="preserve">    </t>
    </r>
    <r>
      <rPr>
        <sz val="10"/>
        <color indexed="18"/>
        <rFont val="宋体"/>
        <family val="3"/>
        <charset val="134"/>
      </rPr>
      <t>资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</si>
  <si>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奖</t>
    </r>
    <r>
      <rPr>
        <sz val="10"/>
        <color indexed="18"/>
        <rFont val="Times New Roman"/>
        <family val="1"/>
      </rPr>
      <t xml:space="preserve">                     </t>
    </r>
    <r>
      <rPr>
        <sz val="10"/>
        <color indexed="18"/>
        <rFont val="宋体"/>
        <family val="3"/>
        <charset val="134"/>
      </rPr>
      <t>金</t>
    </r>
    <phoneticPr fontId="3" type="noConversion"/>
  </si>
  <si>
    <r>
      <t xml:space="preserve">      </t>
    </r>
    <r>
      <rPr>
        <sz val="10"/>
        <color indexed="18"/>
        <rFont val="宋体"/>
        <family val="3"/>
        <charset val="134"/>
      </rPr>
      <t>减：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缺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勤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工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资</t>
    </r>
    <phoneticPr fontId="3" type="noConversion"/>
  </si>
  <si>
    <r>
      <t xml:space="preserve">      </t>
    </r>
    <r>
      <rPr>
        <sz val="10"/>
        <color indexed="18"/>
        <rFont val="宋体"/>
        <family val="3"/>
        <charset val="134"/>
      </rPr>
      <t>减：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其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他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应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phoneticPr fontId="3" type="noConversion"/>
  </si>
  <si>
    <r>
      <t xml:space="preserve">      </t>
    </r>
    <r>
      <rPr>
        <sz val="10"/>
        <color indexed="18"/>
        <rFont val="宋体"/>
        <family val="3"/>
        <charset val="134"/>
      </rPr>
      <t>减：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其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他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应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phoneticPr fontId="3" type="noConversion"/>
  </si>
  <si>
    <t>工　资　总　额</t>
    <phoneticPr fontId="3" type="noConversion"/>
  </si>
  <si>
    <t>工　资　总　额</t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</si>
  <si>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奖</t>
    </r>
    <r>
      <rPr>
        <sz val="10"/>
        <color indexed="18"/>
        <rFont val="Times New Roman"/>
        <family val="1"/>
      </rPr>
      <t xml:space="preserve">              </t>
    </r>
    <r>
      <rPr>
        <sz val="10"/>
        <color indexed="18"/>
        <rFont val="宋体"/>
        <family val="3"/>
        <charset val="134"/>
      </rPr>
      <t>金</t>
    </r>
    <r>
      <rPr>
        <sz val="10"/>
        <color indexed="18"/>
        <rFont val="Times New Roman"/>
        <family val="1"/>
      </rPr>
      <t xml:space="preserve">  (</t>
    </r>
    <r>
      <rPr>
        <sz val="10"/>
        <color indexed="18"/>
        <rFont val="宋体"/>
        <family val="3"/>
        <charset val="134"/>
      </rPr>
      <t>一次性奖金</t>
    </r>
    <r>
      <rPr>
        <sz val="10"/>
        <color indexed="18"/>
        <rFont val="Times New Roman"/>
        <family val="1"/>
      </rPr>
      <t>)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</si>
  <si>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养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老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保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险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</si>
  <si>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失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业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保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险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</si>
  <si>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失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业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保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险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</si>
  <si>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医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疗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保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险</t>
    </r>
    <r>
      <rPr>
        <sz val="10"/>
        <color indexed="18"/>
        <rFont val="Times New Roman"/>
        <family val="1"/>
      </rPr>
      <t/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</si>
  <si>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住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房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公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积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金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</si>
  <si>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其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它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款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项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</si>
  <si>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     </t>
    </r>
    <r>
      <rPr>
        <sz val="10"/>
        <color indexed="18"/>
        <rFont val="宋体"/>
        <family val="3"/>
        <charset val="134"/>
      </rPr>
      <t>大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病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统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筹</t>
    </r>
    <phoneticPr fontId="3" type="noConversion"/>
  </si>
  <si>
    <r>
      <t xml:space="preserve">  </t>
    </r>
    <r>
      <rPr>
        <sz val="10"/>
        <color indexed="18"/>
        <rFont val="宋体"/>
        <family val="3"/>
        <charset val="134"/>
      </rPr>
      <t>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扣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个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人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所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得</t>
    </r>
    <r>
      <rPr>
        <sz val="10"/>
        <color indexed="18"/>
        <rFont val="Times New Roman"/>
        <family val="1"/>
      </rPr>
      <t xml:space="preserve"> </t>
    </r>
    <r>
      <rPr>
        <sz val="10"/>
        <color indexed="18"/>
        <rFont val="宋体"/>
        <family val="3"/>
        <charset val="134"/>
      </rPr>
      <t>税</t>
    </r>
    <phoneticPr fontId="3" type="noConversion"/>
  </si>
  <si>
    <t>实　发　工　资</t>
    <phoneticPr fontId="3" type="noConversion"/>
  </si>
  <si>
    <t>说明：1、[缺勤工资]=（基本工资+岗位工资）÷21×缺勤天数</t>
    <phoneticPr fontId="3" type="noConversion"/>
  </si>
  <si>
    <t xml:space="preserve">      2、[个人所得税]=（工资总额-1600-各项保险）×适用</t>
    <phoneticPr fontId="3" type="noConversion"/>
  </si>
  <si>
    <t xml:space="preserve">         税率-速算扣除数</t>
    <phoneticPr fontId="3" type="noConversion"/>
  </si>
  <si>
    <t>纳税所得额</t>
    <phoneticPr fontId="3" type="noConversion"/>
  </si>
  <si>
    <t>适用税率</t>
    <phoneticPr fontId="3" type="noConversion"/>
  </si>
  <si>
    <t>速算扣除数</t>
    <phoneticPr fontId="3" type="noConversion"/>
  </si>
  <si>
    <t>500元以内</t>
    <phoneticPr fontId="3" type="noConversion"/>
  </si>
  <si>
    <t>500元以内</t>
  </si>
  <si>
    <t>500-2000</t>
    <phoneticPr fontId="3" type="noConversion"/>
  </si>
  <si>
    <t>2000-5000</t>
    <phoneticPr fontId="3" type="noConversion"/>
  </si>
  <si>
    <t>5000-20000</t>
    <phoneticPr fontId="3" type="noConversion"/>
  </si>
  <si>
    <t>20000-40000</t>
    <phoneticPr fontId="3" type="noConversion"/>
  </si>
  <si>
    <t>40000-60000</t>
    <phoneticPr fontId="3" type="noConversion"/>
  </si>
  <si>
    <t>60000-80000</t>
    <phoneticPr fontId="3" type="noConversion"/>
  </si>
  <si>
    <t>代扣代缴个人所得税明细申报表</t>
  </si>
  <si>
    <t>计算机代码</t>
  </si>
  <si>
    <t>有效联系电话</t>
  </si>
  <si>
    <t xml:space="preserve">税款所属月份 </t>
  </si>
  <si>
    <t xml:space="preserve">       申报日期</t>
    <phoneticPr fontId="3" type="noConversion"/>
  </si>
  <si>
    <t>扣缴义务人声明：我声明，此扣缴申报表是根据《中华人民共和国个人所得税法》的有关规定填报，我确信它是真实、可靠的、完整的。</t>
  </si>
  <si>
    <t>声明人</t>
  </si>
  <si>
    <t>----------------------------------------------------------------------------------------------------------------------------------------------------------------------------------------------------------------</t>
  </si>
  <si>
    <t xml:space="preserve">    人民币：        元（角-分）</t>
    <phoneticPr fontId="3" type="noConversion"/>
  </si>
  <si>
    <t>本期本单位总人数</t>
  </si>
  <si>
    <t>全部人员收入总额</t>
  </si>
  <si>
    <t>本期应扣缴税额</t>
  </si>
  <si>
    <t>其中纳税总人数</t>
  </si>
  <si>
    <t>纳税人收入总额</t>
  </si>
  <si>
    <t>本张实缴税额</t>
  </si>
  <si>
    <t>本期非本单位总人数</t>
  </si>
  <si>
    <t>应纳税所得额</t>
  </si>
  <si>
    <t>本期欠缴税额</t>
  </si>
  <si>
    <t>其中纳税人数</t>
  </si>
  <si>
    <t>减免税额</t>
  </si>
  <si>
    <t>缴款书号码</t>
  </si>
  <si>
    <t>35-09194</t>
    <phoneticPr fontId="3" type="noConversion"/>
  </si>
  <si>
    <t>序号</t>
  </si>
  <si>
    <t>身份证件号码</t>
  </si>
  <si>
    <t>姓 名</t>
    <phoneticPr fontId="3" type="noConversion"/>
  </si>
  <si>
    <t>国家编码</t>
    <phoneticPr fontId="3" type="noConversion"/>
  </si>
  <si>
    <t>职业编码</t>
  </si>
  <si>
    <t>所得项目</t>
  </si>
  <si>
    <t>纳税人收入额</t>
  </si>
  <si>
    <t>税率(％)</t>
  </si>
  <si>
    <t>抵免境外税额</t>
  </si>
  <si>
    <t>001</t>
    <phoneticPr fontId="3" type="noConversion"/>
  </si>
  <si>
    <t>01</t>
    <phoneticPr fontId="3" type="noConversion"/>
  </si>
  <si>
    <t>01</t>
  </si>
  <si>
    <t>附件1</t>
    <phoneticPr fontId="3" type="noConversion"/>
  </si>
  <si>
    <t>扣 缴 个 人 所 得 税 报 告 表</t>
    <phoneticPr fontId="3" type="noConversion"/>
  </si>
  <si>
    <t>扣缴义务人编码：</t>
    <phoneticPr fontId="3" type="noConversion"/>
  </si>
  <si>
    <t>扣缴义务人名称（公章）：</t>
    <phoneticPr fontId="3" type="noConversion"/>
  </si>
  <si>
    <t>金额单位：元（列至角分）</t>
    <phoneticPr fontId="3" type="noConversion"/>
  </si>
  <si>
    <t>填表日期：</t>
    <phoneticPr fontId="3" type="noConversion"/>
  </si>
  <si>
    <t>2006-1-8</t>
    <phoneticPr fontId="3" type="noConversion"/>
  </si>
  <si>
    <t>序号</t>
    <phoneticPr fontId="3" type="noConversion"/>
  </si>
  <si>
    <t>纳税　　人姓　　名</t>
    <phoneticPr fontId="3" type="noConversion"/>
  </si>
  <si>
    <t>身份　证照　类别</t>
    <phoneticPr fontId="3" type="noConversion"/>
  </si>
  <si>
    <t>身 份 证 照 号 码</t>
    <phoneticPr fontId="3" type="noConversion"/>
  </si>
  <si>
    <t>国籍</t>
    <phoneticPr fontId="3" type="noConversion"/>
  </si>
  <si>
    <t>所   得　　    项   目</t>
    <phoneticPr fontId="3" type="noConversion"/>
  </si>
  <si>
    <t>所得　　　期间</t>
    <phoneticPr fontId="3" type="noConversion"/>
  </si>
  <si>
    <t>收 入 额</t>
    <phoneticPr fontId="3" type="noConversion"/>
  </si>
  <si>
    <t>免 税　　   收 入　　   额</t>
    <phoneticPr fontId="3" type="noConversion"/>
  </si>
  <si>
    <t>充许扣　除的税　　费</t>
    <phoneticPr fontId="3" type="noConversion"/>
  </si>
  <si>
    <t>费用　　扣除　　标准</t>
    <phoneticPr fontId="3" type="noConversion"/>
  </si>
  <si>
    <t>准予扣　　除的捐　　赠额</t>
    <phoneticPr fontId="3" type="noConversion"/>
  </si>
  <si>
    <t>应纳　　　 税所　　  得额</t>
    <phoneticPr fontId="3" type="noConversion"/>
  </si>
  <si>
    <t>税率　　　%</t>
    <phoneticPr fontId="3" type="noConversion"/>
  </si>
  <si>
    <t>速算　　扣除　　数</t>
    <phoneticPr fontId="3" type="noConversion"/>
  </si>
  <si>
    <t>应扣　　　税额</t>
    <phoneticPr fontId="3" type="noConversion"/>
  </si>
  <si>
    <t>已扣　　　税额</t>
    <phoneticPr fontId="3" type="noConversion"/>
  </si>
  <si>
    <t>备　　　注</t>
    <phoneticPr fontId="3" type="noConversion"/>
  </si>
  <si>
    <t>合　　　　　　　　　　计</t>
    <phoneticPr fontId="3" type="noConversion"/>
  </si>
  <si>
    <t>—</t>
    <phoneticPr fontId="3" type="noConversion"/>
  </si>
  <si>
    <t>身份证</t>
  </si>
  <si>
    <t>中国</t>
  </si>
  <si>
    <t>工资薪金所得</t>
  </si>
  <si>
    <t>扣缴义务　　人声明</t>
    <phoneticPr fontId="3" type="noConversion"/>
  </si>
  <si>
    <t>我声明：此扣缴报告表是根据国家税收法律，法规的规定填报的，我确定它是真实的，可靠的，完整的．</t>
    <phoneticPr fontId="3" type="noConversion"/>
  </si>
  <si>
    <t>声明人签字：</t>
  </si>
  <si>
    <t xml:space="preserve">  会计主管签字：</t>
    <phoneticPr fontId="3" type="noConversion"/>
  </si>
  <si>
    <t xml:space="preserve">  负责人签字：</t>
    <phoneticPr fontId="3" type="noConversion"/>
  </si>
  <si>
    <t>扣缴单位（或法定代表人）（签章）：</t>
    <phoneticPr fontId="3" type="noConversion"/>
  </si>
  <si>
    <t xml:space="preserve">  受理人（签章）：</t>
    <phoneticPr fontId="3" type="noConversion"/>
  </si>
  <si>
    <t>受理日期：</t>
    <phoneticPr fontId="3" type="noConversion"/>
  </si>
  <si>
    <t>年</t>
    <phoneticPr fontId="3" type="noConversion"/>
  </si>
  <si>
    <t>月</t>
    <phoneticPr fontId="3" type="noConversion"/>
  </si>
  <si>
    <t>日</t>
    <phoneticPr fontId="3" type="noConversion"/>
  </si>
  <si>
    <t>受理税务机（关章）：</t>
    <phoneticPr fontId="3" type="noConversion"/>
  </si>
  <si>
    <t>国家税务总局监制</t>
    <phoneticPr fontId="3" type="noConversion"/>
  </si>
  <si>
    <t>本表一式二份，一份扣缴义务人留存，一份报主管税务机关．</t>
    <phoneticPr fontId="3" type="noConversion"/>
  </si>
  <si>
    <r>
      <t>附件</t>
    </r>
    <r>
      <rPr>
        <sz val="10"/>
        <rFont val="Arial"/>
        <family val="2"/>
      </rPr>
      <t>2</t>
    </r>
    <phoneticPr fontId="3" type="noConversion"/>
  </si>
  <si>
    <t>支 付 个 人 收 入 明 细 表</t>
    <phoneticPr fontId="3" type="noConversion"/>
  </si>
  <si>
    <r>
      <t>扣缴义务人编码</t>
    </r>
    <r>
      <rPr>
        <sz val="12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：</t>
    </r>
    <phoneticPr fontId="3" type="noConversion"/>
  </si>
  <si>
    <t>扣缴义务人名称（公章）：</t>
    <phoneticPr fontId="3" type="noConversion"/>
  </si>
  <si>
    <t>金额单位：</t>
    <phoneticPr fontId="3" type="noConversion"/>
  </si>
  <si>
    <t xml:space="preserve">      元（列至角分）</t>
    <phoneticPr fontId="3" type="noConversion"/>
  </si>
  <si>
    <t>填表日期：</t>
    <phoneticPr fontId="3" type="noConversion"/>
  </si>
  <si>
    <t>姓  名</t>
    <phoneticPr fontId="3" type="noConversion"/>
  </si>
  <si>
    <t>身  份  证  照 　      类 型 及 号 码</t>
    <phoneticPr fontId="3" type="noConversion"/>
  </si>
  <si>
    <t>收          入          额</t>
    <phoneticPr fontId="3" type="noConversion"/>
  </si>
  <si>
    <t>备   注</t>
    <phoneticPr fontId="3" type="noConversion"/>
  </si>
  <si>
    <t>合    计</t>
    <phoneticPr fontId="3" type="noConversion"/>
  </si>
  <si>
    <t>工资薪金　　所   得</t>
    <phoneticPr fontId="3" type="noConversion"/>
  </si>
  <si>
    <t>承包承租　　所   得</t>
    <phoneticPr fontId="3" type="noConversion"/>
  </si>
  <si>
    <t>劳务报酬　　所   得</t>
    <phoneticPr fontId="3" type="noConversion"/>
  </si>
  <si>
    <t>利息.股息．红利所得</t>
    <phoneticPr fontId="3" type="noConversion"/>
  </si>
  <si>
    <t>其他各项　　　所得</t>
    <phoneticPr fontId="3" type="noConversion"/>
  </si>
  <si>
    <t>3=4+5+6+7+8</t>
    <phoneticPr fontId="3" type="noConversion"/>
  </si>
  <si>
    <t>制表人：</t>
    <phoneticPr fontId="3" type="noConversion"/>
  </si>
  <si>
    <t>审核人：</t>
    <phoneticPr fontId="3" type="noConversion"/>
  </si>
  <si>
    <t>《支付个人收入明细表》填表说明</t>
    <phoneticPr fontId="3" type="noConversion"/>
  </si>
  <si>
    <t xml:space="preserve">   一．本表根据《中华人民和国税收征收管理办法》及其实施细则，《中华人民共和国个人所的税法》及其实施条例制定．各省自治区．</t>
    <phoneticPr fontId="3" type="noConversion"/>
  </si>
  <si>
    <t xml:space="preserve">       直辖市地方税务局可根据本地实际，本着有利征管方便纳税人的原则，在本样的基础上增加栏目的内容．　</t>
    <phoneticPr fontId="3" type="noConversion"/>
  </si>
  <si>
    <t xml:space="preserve">   二．适用范围：扣缴义务人向个人支付应税所得，但未达到纳税标准，没有扣缴税款的纳税人情况报送．</t>
    <phoneticPr fontId="3" type="noConversion"/>
  </si>
  <si>
    <t xml:space="preserve">   三．＂收入项目＂栏填写金额．４＋５＋６＋７＋８＝３</t>
    <phoneticPr fontId="3" type="noConversion"/>
  </si>
  <si>
    <t xml:space="preserve">   四．非本单位雇员，非本期收入及其他有关事项应在备注栏中注明．</t>
    <phoneticPr fontId="3" type="noConversion"/>
  </si>
  <si>
    <t xml:space="preserve">   五．＂审核人＂指单位的财务部负责人．</t>
    <phoneticPr fontId="3" type="noConversion"/>
  </si>
  <si>
    <t xml:space="preserve">   六．本表为Ａ４横式，填写一式二份，扣缴义务人留存一份，报税机关一份．</t>
    <phoneticPr fontId="3" type="noConversion"/>
  </si>
  <si>
    <t>元旦</t>
  </si>
  <si>
    <t>世界湿地日</t>
  </si>
  <si>
    <t>情人节</t>
  </si>
  <si>
    <t>国际劳动妇女节</t>
  </si>
  <si>
    <t>国际消费者权益日</t>
  </si>
  <si>
    <r>
      <t>“=IF(ISERROR(MATCH(DATE(,MONTH(E1),DAY(E1)),DATE(,MONTH(A1:A73),DAY(A1:A73)),)),"","</t>
    </r>
    <r>
      <rPr>
        <sz val="9"/>
        <color indexed="8"/>
        <rFont val="宋体"/>
        <family val="3"/>
        <charset val="134"/>
      </rPr>
      <t>今天是：</t>
    </r>
    <r>
      <rPr>
        <sz val="9"/>
        <color indexed="8"/>
        <rFont val="Tahoma"/>
        <family val="2"/>
      </rPr>
      <t>"&amp;INDEX(A1:B73,MATCH(DATE(,MONTH(E1),DAY(E1)),DATE(,MONTH(A1:A73),DAY(A1:A73)),),2))</t>
    </r>
    <phoneticPr fontId="3" type="noConversion"/>
  </si>
  <si>
    <t>国际消除种族歧视日</t>
  </si>
  <si>
    <t>世界睡眠日</t>
  </si>
  <si>
    <t>世界水日</t>
  </si>
  <si>
    <t>世界气象日</t>
  </si>
  <si>
    <t>世界防治结核病日</t>
  </si>
  <si>
    <t>国际愚人节</t>
  </si>
  <si>
    <t>清明节</t>
  </si>
  <si>
    <t>世界卫生日</t>
  </si>
  <si>
    <t>世界地球日</t>
  </si>
  <si>
    <t>世界知识产权日</t>
  </si>
  <si>
    <t>受难节</t>
  </si>
  <si>
    <t>复活节前的星期五</t>
  </si>
  <si>
    <t>复活节</t>
  </si>
  <si>
    <t>春分月圆后第一个星期日</t>
  </si>
  <si>
    <t>世界儿童日</t>
  </si>
  <si>
    <t>4月第四个星期日</t>
  </si>
  <si>
    <t>国际劳动节</t>
  </si>
  <si>
    <t>中国青年节</t>
  </si>
  <si>
    <t>世界红十字日</t>
  </si>
  <si>
    <t>世界哮喘日</t>
  </si>
  <si>
    <t>5月第二个星期二</t>
  </si>
  <si>
    <t>国际护士节</t>
  </si>
  <si>
    <t>母亲节</t>
  </si>
  <si>
    <t>5月第二个星期日</t>
  </si>
  <si>
    <t>国际家庭日</t>
  </si>
  <si>
    <t>世界电信日</t>
  </si>
  <si>
    <t>国际博物馆日</t>
  </si>
  <si>
    <t>世界无烟日</t>
  </si>
  <si>
    <t>国际儿童节</t>
  </si>
  <si>
    <t>世界环境日</t>
  </si>
  <si>
    <t>世界防治荒漠化和干旱日</t>
  </si>
  <si>
    <t>世界难民日</t>
  </si>
  <si>
    <t>国际奥林匹克日</t>
  </si>
  <si>
    <t>国际禁毒日</t>
  </si>
  <si>
    <t>联合国宪章日</t>
  </si>
  <si>
    <t>父亲节</t>
  </si>
  <si>
    <t>6月第三个星期日</t>
  </si>
  <si>
    <t>国际合作社日</t>
  </si>
  <si>
    <t>7月第一个星期六</t>
  </si>
  <si>
    <t>世界人口日</t>
  </si>
  <si>
    <t>国际扫盲日</t>
  </si>
  <si>
    <t>中国教师节</t>
  </si>
  <si>
    <t>国际臭氧层保护日</t>
  </si>
  <si>
    <t>全国爱牙日</t>
  </si>
  <si>
    <t>世界旅游日</t>
  </si>
  <si>
    <t>国际和平日</t>
  </si>
  <si>
    <t>9月第三个星期二</t>
  </si>
  <si>
    <t>世界海事日</t>
  </si>
  <si>
    <t>9月最后一周某一日</t>
  </si>
  <si>
    <t>国庆节</t>
  </si>
  <si>
    <t>国际老人节</t>
  </si>
  <si>
    <t>世界动物日</t>
  </si>
  <si>
    <t>世界邮政日</t>
  </si>
  <si>
    <t>世界标准日</t>
  </si>
  <si>
    <t>国际盲人节</t>
  </si>
  <si>
    <t>世界粮食日</t>
  </si>
  <si>
    <t>国际消除贫困日</t>
  </si>
  <si>
    <t>万圣节</t>
  </si>
  <si>
    <t>世界糖尿病日</t>
  </si>
  <si>
    <t>感恩节</t>
  </si>
  <si>
    <t>11月最后一个星期四</t>
  </si>
  <si>
    <t>世界艾滋病日</t>
  </si>
  <si>
    <t>国际残疾人日</t>
  </si>
  <si>
    <t>中国法制宣传日</t>
  </si>
  <si>
    <t>国际志愿人员日</t>
  </si>
  <si>
    <t>国际民航日</t>
  </si>
  <si>
    <t>世界人权日</t>
  </si>
  <si>
    <t>圣诞节</t>
  </si>
  <si>
    <t>春节</t>
  </si>
  <si>
    <t>正月初一</t>
  </si>
  <si>
    <t>元宵节</t>
  </si>
  <si>
    <t>正月十五</t>
  </si>
  <si>
    <t>龙抬头节</t>
  </si>
  <si>
    <t>二月初二</t>
  </si>
  <si>
    <t>端午节</t>
  </si>
  <si>
    <t>五月初五</t>
  </si>
  <si>
    <t>七夕情人节</t>
  </si>
  <si>
    <t>七月初七</t>
  </si>
  <si>
    <t>鬼节</t>
  </si>
  <si>
    <t>七月十五</t>
  </si>
  <si>
    <t>中秋节</t>
  </si>
  <si>
    <t>八月十五</t>
  </si>
  <si>
    <t>重阳节</t>
  </si>
  <si>
    <t>九月初九</t>
  </si>
  <si>
    <t>腊八节</t>
  </si>
  <si>
    <t>腊月初八</t>
  </si>
  <si>
    <t>小年</t>
  </si>
  <si>
    <t>腊月二十三</t>
  </si>
  <si>
    <t>001</t>
    <phoneticPr fontId="14" type="noConversion"/>
  </si>
  <si>
    <t>004</t>
    <phoneticPr fontId="14" type="noConversion"/>
  </si>
  <si>
    <t>所属期：2007年03月01日至</t>
    <phoneticPr fontId="3" type="noConversion"/>
  </si>
  <si>
    <t>使 用 说 明</t>
    <phoneticPr fontId="3" type="noConversion"/>
  </si>
  <si>
    <t>1、姓名、基本工资、岗位工资、奖金、其它应扣、其它代扣  为手工填入。</t>
    <phoneticPr fontId="3" type="noConversion"/>
  </si>
  <si>
    <t>2、加班天数、缺勤天数由考勤表自动过入。</t>
    <phoneticPr fontId="14" type="noConversion"/>
  </si>
  <si>
    <t>3、养老保险、失业保险、医疗保险、住房公积金  自动生成，但各单位的比例不同，请自行修改公式中的参数。</t>
    <phoneticPr fontId="3" type="noConversion"/>
  </si>
  <si>
    <t>4、代扣个人所得税   自动计算，请不要随意改动。</t>
    <phoneticPr fontId="3" type="noConversion"/>
  </si>
  <si>
    <t>5、工资总额和实发工资均为自动生成。</t>
    <phoneticPr fontId="3" type="noConversion"/>
  </si>
  <si>
    <r>
      <t>6、</t>
    </r>
    <r>
      <rPr>
        <b/>
        <sz val="9"/>
        <rFont val="宋体"/>
        <family val="3"/>
        <charset val="134"/>
      </rPr>
      <t>AF</t>
    </r>
    <r>
      <rPr>
        <sz val="9"/>
        <rFont val="宋体"/>
        <family val="3"/>
        <charset val="134"/>
      </rPr>
      <t xml:space="preserve"> 列至 </t>
    </r>
    <r>
      <rPr>
        <b/>
        <sz val="9"/>
        <rFont val="宋体"/>
        <family val="3"/>
        <charset val="134"/>
      </rPr>
      <t>AT</t>
    </r>
    <r>
      <rPr>
        <sz val="9"/>
        <rFont val="宋体"/>
        <family val="3"/>
        <charset val="134"/>
      </rPr>
      <t xml:space="preserve"> 列是报税资料，自动生成。</t>
    </r>
    <phoneticPr fontId="3" type="noConversion"/>
  </si>
  <si>
    <t>7、“个人工资单”与“三联工资单”只须输入员工编号，便可自动取数；请根据需要任选。</t>
    <phoneticPr fontId="3" type="noConversion"/>
  </si>
  <si>
    <t>8、“工资条”全部自动生成</t>
    <phoneticPr fontId="3" type="noConversion"/>
  </si>
  <si>
    <r>
      <t>9、养、失、医、房项目为选项（即</t>
    </r>
    <r>
      <rPr>
        <b/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列至</t>
    </r>
    <r>
      <rPr>
        <b/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列）；参加保险者，在相应的项目输入1，便自动计算其金额，不参保的为空格，工资表不予计算。</t>
    </r>
    <phoneticPr fontId="3" type="noConversion"/>
  </si>
  <si>
    <t>10、加班工资、考勤应扣，按每月21天计算；养、失、医、房  项目提取基数与比例亦应按单位规定进行修改。</t>
    <phoneticPr fontId="3" type="noConversion"/>
  </si>
  <si>
    <t>11、《个税明细申报表》、《扣缴个人所得税报告表》、《支付个人收入明细表》为自动生成。</t>
    <phoneticPr fontId="3" type="noConversion"/>
  </si>
  <si>
    <t>16、如果把公式改一下；会给您代来很多乐趣！动手试试吧！！</t>
    <phoneticPr fontId="3" type="noConversion"/>
  </si>
  <si>
    <t>17、各表均设了保护，但未设密码，您尽可撤消，做您想作的事。</t>
    <phoneticPr fontId="3" type="noConversion"/>
  </si>
  <si>
    <t>15、如果您感兴趣，可在《节日》工作表E1单元格，输入2007-5-1、2007-3-8、2007-10-1等节日日期，看看目录的上方有何变化？</t>
    <phoneticPr fontId="3" type="noConversion"/>
  </si>
  <si>
    <t>工 资 计 算</t>
    <phoneticPr fontId="3" type="noConversion"/>
  </si>
  <si>
    <t>考 勤 表</t>
    <phoneticPr fontId="3" type="noConversion"/>
  </si>
  <si>
    <t>四联工资单</t>
    <phoneticPr fontId="3" type="noConversion"/>
  </si>
  <si>
    <t>三联工资单</t>
    <phoneticPr fontId="3" type="noConversion"/>
  </si>
  <si>
    <t>个税明细申报</t>
    <phoneticPr fontId="3" type="noConversion"/>
  </si>
  <si>
    <t>个 税 报 告</t>
    <phoneticPr fontId="3" type="noConversion"/>
  </si>
  <si>
    <t>收入明细表</t>
    <phoneticPr fontId="3" type="noConversion"/>
  </si>
  <si>
    <t>工  资  条</t>
    <phoneticPr fontId="3" type="noConversion"/>
  </si>
  <si>
    <t>节    日</t>
    <phoneticPr fontId="3" type="noConversion"/>
  </si>
  <si>
    <t>使 用 说 明</t>
    <phoneticPr fontId="3" type="noConversion"/>
  </si>
  <si>
    <t>彩云</t>
    <phoneticPr fontId="3" type="noConversion"/>
  </si>
  <si>
    <t>紫晶</t>
    <phoneticPr fontId="3" type="noConversion"/>
  </si>
  <si>
    <t>茉莉</t>
    <phoneticPr fontId="3" type="noConversion"/>
  </si>
  <si>
    <t>成立</t>
    <phoneticPr fontId="3" type="noConversion"/>
  </si>
  <si>
    <t>雄鹰</t>
    <phoneticPr fontId="3" type="noConversion"/>
  </si>
  <si>
    <t>立军</t>
    <phoneticPr fontId="3" type="noConversion"/>
  </si>
  <si>
    <t>实用工资表</t>
    <phoneticPr fontId="3" type="noConversion"/>
  </si>
  <si>
    <t>区域户籍</t>
    <phoneticPr fontId="3" type="noConversion"/>
  </si>
  <si>
    <t>每年实施新缴费基数月份</t>
    <phoneticPr fontId="82" type="noConversion"/>
  </si>
  <si>
    <t>城市区号</t>
    <phoneticPr fontId="82" type="noConversion"/>
  </si>
  <si>
    <t>最低工资
（标准）</t>
    <phoneticPr fontId="3" type="noConversion"/>
  </si>
  <si>
    <t>社保基数(最低标准)</t>
    <phoneticPr fontId="3" type="noConversion"/>
  </si>
  <si>
    <t>养老保险</t>
    <phoneticPr fontId="3" type="noConversion"/>
  </si>
  <si>
    <t>医疗保险</t>
    <phoneticPr fontId="3" type="noConversion"/>
  </si>
  <si>
    <t>工伤保险</t>
    <phoneticPr fontId="3" type="noConversion"/>
  </si>
  <si>
    <t>失业保险</t>
    <phoneticPr fontId="3" type="noConversion"/>
  </si>
  <si>
    <t>生育保险</t>
    <phoneticPr fontId="3" type="noConversion"/>
  </si>
  <si>
    <r>
      <t>社保合计</t>
    </r>
    <r>
      <rPr>
        <b/>
        <sz val="10"/>
        <color rgb="FFFF0000"/>
        <rFont val="微软雅黑"/>
        <family val="2"/>
        <charset val="134"/>
      </rPr>
      <t>（不可单看合计金额，因其中有项目未确定）</t>
    </r>
    <phoneticPr fontId="3" type="noConversion"/>
  </si>
  <si>
    <t>省、自治区、直辖市/地区/城市</t>
    <phoneticPr fontId="3" type="noConversion"/>
  </si>
  <si>
    <t>市/户口类型</t>
  </si>
  <si>
    <t>养老</t>
    <phoneticPr fontId="3" type="noConversion"/>
  </si>
  <si>
    <t>医疗</t>
    <phoneticPr fontId="3" type="noConversion"/>
  </si>
  <si>
    <t>工伤</t>
    <phoneticPr fontId="3" type="noConversion"/>
  </si>
  <si>
    <t>失业</t>
    <phoneticPr fontId="3" type="noConversion"/>
  </si>
  <si>
    <t>生育</t>
    <phoneticPr fontId="3" type="noConversion"/>
  </si>
  <si>
    <t>缴费比例</t>
    <phoneticPr fontId="3" type="noConversion"/>
  </si>
  <si>
    <t>缴费金额</t>
    <phoneticPr fontId="3" type="noConversion"/>
  </si>
  <si>
    <t>大病医疗</t>
  </si>
  <si>
    <t>公司</t>
  </si>
  <si>
    <t>个人</t>
  </si>
  <si>
    <t>北京市</t>
    <phoneticPr fontId="3" type="noConversion"/>
  </si>
  <si>
    <t>本市城镇、外省市城镇</t>
    <phoneticPr fontId="3" type="noConversion"/>
  </si>
  <si>
    <t>每年5月</t>
    <phoneticPr fontId="82" type="noConversion"/>
  </si>
  <si>
    <t>010</t>
    <phoneticPr fontId="82" type="noConversion"/>
  </si>
  <si>
    <t>本市农户、外省市农户</t>
    <phoneticPr fontId="3" type="noConversion"/>
  </si>
  <si>
    <t>上海市</t>
    <phoneticPr fontId="3" type="noConversion"/>
  </si>
  <si>
    <t>城镇户口、本地农户</t>
    <phoneticPr fontId="3" type="noConversion"/>
  </si>
  <si>
    <t>每年4月</t>
    <phoneticPr fontId="82" type="noConversion"/>
  </si>
  <si>
    <t>021</t>
    <phoneticPr fontId="82" type="noConversion"/>
  </si>
  <si>
    <t>外来农户</t>
    <phoneticPr fontId="3" type="noConversion"/>
  </si>
  <si>
    <t>天津市</t>
    <phoneticPr fontId="3" type="noConversion"/>
  </si>
  <si>
    <t>城镇职工</t>
    <phoneticPr fontId="3" type="noConversion"/>
  </si>
  <si>
    <t>每年1月</t>
    <phoneticPr fontId="82" type="noConversion"/>
  </si>
  <si>
    <t>022</t>
    <phoneticPr fontId="82" type="noConversion"/>
  </si>
  <si>
    <t>农村职工</t>
    <phoneticPr fontId="82" type="noConversion"/>
  </si>
  <si>
    <t>-</t>
    <phoneticPr fontId="82" type="noConversion"/>
  </si>
  <si>
    <t>重庆市</t>
    <phoneticPr fontId="3" type="noConversion"/>
  </si>
  <si>
    <t>每年7月</t>
    <phoneticPr fontId="82" type="noConversion"/>
  </si>
  <si>
    <t>023</t>
    <phoneticPr fontId="82" type="noConversion"/>
  </si>
  <si>
    <t>苏州市</t>
    <phoneticPr fontId="3" type="noConversion"/>
  </si>
  <si>
    <t>0512</t>
    <phoneticPr fontId="82" type="noConversion"/>
  </si>
  <si>
    <t>镇江市</t>
    <phoneticPr fontId="82" type="noConversion"/>
  </si>
  <si>
    <t>0511</t>
    <phoneticPr fontId="82" type="noConversion"/>
  </si>
  <si>
    <t>昆山市</t>
    <phoneticPr fontId="3" type="noConversion"/>
  </si>
  <si>
    <t>今年8月份</t>
    <phoneticPr fontId="82" type="noConversion"/>
  </si>
  <si>
    <t>南京市</t>
    <phoneticPr fontId="3" type="noConversion"/>
  </si>
  <si>
    <t>025</t>
    <phoneticPr fontId="82" type="noConversion"/>
  </si>
  <si>
    <t>常熟市</t>
    <phoneticPr fontId="3" type="noConversion"/>
  </si>
  <si>
    <t>无锡市</t>
    <phoneticPr fontId="3" type="noConversion"/>
  </si>
  <si>
    <t>0510</t>
    <phoneticPr fontId="82" type="noConversion"/>
  </si>
  <si>
    <t>连云港市</t>
    <phoneticPr fontId="3" type="noConversion"/>
  </si>
  <si>
    <t>0518</t>
    <phoneticPr fontId="82" type="noConversion"/>
  </si>
  <si>
    <t>南通市</t>
    <phoneticPr fontId="82" type="noConversion"/>
  </si>
  <si>
    <t>每年8月</t>
  </si>
  <si>
    <t>0513</t>
    <phoneticPr fontId="82" type="noConversion"/>
  </si>
  <si>
    <t>仪征市</t>
    <phoneticPr fontId="82" type="noConversion"/>
  </si>
  <si>
    <t>0514</t>
    <phoneticPr fontId="82" type="noConversion"/>
  </si>
  <si>
    <t>宿迁市</t>
    <phoneticPr fontId="3" type="noConversion"/>
  </si>
  <si>
    <t>今年7月</t>
    <phoneticPr fontId="82" type="noConversion"/>
  </si>
  <si>
    <t>0527</t>
    <phoneticPr fontId="82" type="noConversion"/>
  </si>
  <si>
    <t>扬州市</t>
    <phoneticPr fontId="82" type="noConversion"/>
  </si>
  <si>
    <t>城镇职工</t>
    <phoneticPr fontId="82" type="noConversion"/>
  </si>
  <si>
    <t>今年1月</t>
    <phoneticPr fontId="82" type="noConversion"/>
  </si>
  <si>
    <t>徐州市</t>
    <phoneticPr fontId="82" type="noConversion"/>
  </si>
  <si>
    <t>7月更新</t>
    <phoneticPr fontId="82" type="noConversion"/>
  </si>
  <si>
    <t>0516</t>
    <phoneticPr fontId="82" type="noConversion"/>
  </si>
  <si>
    <t>常州市</t>
    <phoneticPr fontId="82" type="noConversion"/>
  </si>
  <si>
    <t>0519</t>
    <phoneticPr fontId="82" type="noConversion"/>
  </si>
  <si>
    <t>杭州市</t>
    <phoneticPr fontId="3" type="noConversion"/>
  </si>
  <si>
    <t>0571</t>
    <phoneticPr fontId="82" type="noConversion"/>
  </si>
  <si>
    <t>农业户口</t>
    <phoneticPr fontId="3" type="noConversion"/>
  </si>
  <si>
    <t>嘉兴市</t>
    <phoneticPr fontId="82" type="noConversion"/>
  </si>
  <si>
    <t>医疗12月，其他险种5月</t>
    <phoneticPr fontId="82" type="noConversion"/>
  </si>
  <si>
    <t>0573</t>
    <phoneticPr fontId="82" type="noConversion"/>
  </si>
  <si>
    <t>宁波市</t>
    <phoneticPr fontId="3" type="noConversion"/>
  </si>
  <si>
    <t>每年6月</t>
    <phoneticPr fontId="82" type="noConversion"/>
  </si>
  <si>
    <t>0574</t>
    <phoneticPr fontId="82" type="noConversion"/>
  </si>
  <si>
    <t>湖州市</t>
    <phoneticPr fontId="82" type="noConversion"/>
  </si>
  <si>
    <t>0572</t>
    <phoneticPr fontId="82" type="noConversion"/>
  </si>
  <si>
    <t>农村户口</t>
    <phoneticPr fontId="3" type="noConversion"/>
  </si>
  <si>
    <t>绍兴市</t>
    <phoneticPr fontId="82" type="noConversion"/>
  </si>
  <si>
    <t>0575</t>
    <phoneticPr fontId="82" type="noConversion"/>
  </si>
  <si>
    <t>衢州市</t>
    <phoneticPr fontId="82" type="noConversion"/>
  </si>
  <si>
    <t xml:space="preserve">0570
</t>
    <phoneticPr fontId="82" type="noConversion"/>
  </si>
  <si>
    <t>台州市</t>
    <phoneticPr fontId="82" type="noConversion"/>
  </si>
  <si>
    <t>0576</t>
    <phoneticPr fontId="82" type="noConversion"/>
  </si>
  <si>
    <t>温州市</t>
    <phoneticPr fontId="3" type="noConversion"/>
  </si>
  <si>
    <t>0577</t>
    <phoneticPr fontId="82" type="noConversion"/>
  </si>
  <si>
    <t>舟山市</t>
    <phoneticPr fontId="82" type="noConversion"/>
  </si>
  <si>
    <t>0580</t>
    <phoneticPr fontId="82" type="noConversion"/>
  </si>
  <si>
    <t>合肥市</t>
    <phoneticPr fontId="3" type="noConversion"/>
  </si>
  <si>
    <t>0551</t>
    <phoneticPr fontId="82" type="noConversion"/>
  </si>
  <si>
    <t>芜湖市</t>
    <phoneticPr fontId="3" type="noConversion"/>
  </si>
  <si>
    <t>0553</t>
    <phoneticPr fontId="82" type="noConversion"/>
  </si>
  <si>
    <t>滁州市</t>
    <phoneticPr fontId="82" type="noConversion"/>
  </si>
  <si>
    <t>0550</t>
    <phoneticPr fontId="82" type="noConversion"/>
  </si>
  <si>
    <t>马鞍山市</t>
    <phoneticPr fontId="82" type="noConversion"/>
  </si>
  <si>
    <t>3月更新</t>
    <phoneticPr fontId="82" type="noConversion"/>
  </si>
  <si>
    <t>0555</t>
    <phoneticPr fontId="82" type="noConversion"/>
  </si>
  <si>
    <t>淮北市</t>
    <phoneticPr fontId="82" type="noConversion"/>
  </si>
  <si>
    <t>0561</t>
    <phoneticPr fontId="82" type="noConversion"/>
  </si>
  <si>
    <t>成都市</t>
    <phoneticPr fontId="3" type="noConversion"/>
  </si>
  <si>
    <t>本地城镇、非城镇、外地城镇</t>
    <phoneticPr fontId="3" type="noConversion"/>
  </si>
  <si>
    <t>028</t>
    <phoneticPr fontId="82" type="noConversion"/>
  </si>
  <si>
    <t>外地农村户口</t>
    <phoneticPr fontId="82" type="noConversion"/>
  </si>
  <si>
    <t>绵阳市</t>
    <phoneticPr fontId="82" type="noConversion"/>
  </si>
  <si>
    <t>城镇/农业户口</t>
    <phoneticPr fontId="82" type="noConversion"/>
  </si>
  <si>
    <t>0816</t>
    <phoneticPr fontId="82" type="noConversion"/>
  </si>
  <si>
    <t>长春市</t>
    <phoneticPr fontId="3" type="noConversion"/>
  </si>
  <si>
    <t>社保医保</t>
    <phoneticPr fontId="3" type="noConversion"/>
  </si>
  <si>
    <t>0431</t>
    <phoneticPr fontId="82" type="noConversion"/>
  </si>
  <si>
    <t>沈阳市</t>
    <phoneticPr fontId="3" type="noConversion"/>
  </si>
  <si>
    <t>024</t>
    <phoneticPr fontId="82" type="noConversion"/>
  </si>
  <si>
    <t>大连市</t>
    <phoneticPr fontId="3" type="noConversion"/>
  </si>
  <si>
    <t>0411</t>
    <phoneticPr fontId="82" type="noConversion"/>
  </si>
  <si>
    <t>郑州市</t>
    <phoneticPr fontId="3" type="noConversion"/>
  </si>
  <si>
    <t>0371</t>
    <phoneticPr fontId="82" type="noConversion"/>
  </si>
  <si>
    <t>洛阳市</t>
    <phoneticPr fontId="3" type="noConversion"/>
  </si>
  <si>
    <t>0379</t>
    <phoneticPr fontId="82" type="noConversion"/>
  </si>
  <si>
    <t>武汉市</t>
    <phoneticPr fontId="3" type="noConversion"/>
  </si>
  <si>
    <t>027</t>
    <phoneticPr fontId="82" type="noConversion"/>
  </si>
  <si>
    <t>哈尔滨市</t>
    <phoneticPr fontId="3" type="noConversion"/>
  </si>
  <si>
    <t>0451</t>
    <phoneticPr fontId="82" type="noConversion"/>
  </si>
  <si>
    <t>太原市</t>
    <phoneticPr fontId="3" type="noConversion"/>
  </si>
  <si>
    <t>城镇职工</t>
    <phoneticPr fontId="3" type="noConversion"/>
  </si>
  <si>
    <t>每年7月</t>
    <phoneticPr fontId="82" type="noConversion"/>
  </si>
  <si>
    <t>0351</t>
    <phoneticPr fontId="82" type="noConversion"/>
  </si>
  <si>
    <t>西安市</t>
    <phoneticPr fontId="3" type="noConversion"/>
  </si>
  <si>
    <t>每年7、8月</t>
    <phoneticPr fontId="82" type="noConversion"/>
  </si>
  <si>
    <t>029</t>
    <phoneticPr fontId="82" type="noConversion"/>
  </si>
  <si>
    <t>昆明市</t>
    <phoneticPr fontId="3" type="noConversion"/>
  </si>
  <si>
    <t>今年7月</t>
    <phoneticPr fontId="82" type="noConversion"/>
  </si>
  <si>
    <t>0871</t>
    <phoneticPr fontId="82" type="noConversion"/>
  </si>
  <si>
    <t>九江市</t>
    <phoneticPr fontId="3" type="noConversion"/>
  </si>
  <si>
    <t>0792</t>
    <phoneticPr fontId="82" type="noConversion"/>
  </si>
  <si>
    <t>南昌市</t>
    <phoneticPr fontId="3" type="noConversion"/>
  </si>
  <si>
    <t>0791</t>
    <phoneticPr fontId="82" type="noConversion"/>
  </si>
  <si>
    <t>吉安市</t>
    <phoneticPr fontId="82" type="noConversion"/>
  </si>
  <si>
    <t>4月调整</t>
    <phoneticPr fontId="82" type="noConversion"/>
  </si>
  <si>
    <t>0796</t>
    <phoneticPr fontId="82" type="noConversion"/>
  </si>
  <si>
    <t>济南市</t>
    <phoneticPr fontId="3" type="noConversion"/>
  </si>
  <si>
    <t>0531</t>
    <phoneticPr fontId="82" type="noConversion"/>
  </si>
  <si>
    <t>烟台市</t>
    <phoneticPr fontId="82" type="noConversion"/>
  </si>
  <si>
    <t>0535</t>
    <phoneticPr fontId="82" type="noConversion"/>
  </si>
  <si>
    <t>青岛市</t>
    <phoneticPr fontId="3" type="noConversion"/>
  </si>
  <si>
    <t>0532</t>
    <phoneticPr fontId="82" type="noConversion"/>
  </si>
  <si>
    <t>淄博市</t>
    <phoneticPr fontId="82" type="noConversion"/>
  </si>
  <si>
    <t>0533</t>
    <phoneticPr fontId="82" type="noConversion"/>
  </si>
  <si>
    <t>日照市</t>
    <phoneticPr fontId="82" type="noConversion"/>
  </si>
  <si>
    <t>0633</t>
    <phoneticPr fontId="82" type="noConversion"/>
  </si>
  <si>
    <t>济宁市</t>
    <phoneticPr fontId="82" type="noConversion"/>
  </si>
  <si>
    <t>0537</t>
    <phoneticPr fontId="82" type="noConversion"/>
  </si>
  <si>
    <t>临沂市</t>
    <phoneticPr fontId="82" type="noConversion"/>
  </si>
  <si>
    <t>0539</t>
    <phoneticPr fontId="82" type="noConversion"/>
  </si>
  <si>
    <t>福州市</t>
    <phoneticPr fontId="3" type="noConversion"/>
  </si>
  <si>
    <t>0591</t>
    <phoneticPr fontId="82" type="noConversion"/>
  </si>
  <si>
    <t>厦门市</t>
    <phoneticPr fontId="3" type="noConversion"/>
  </si>
  <si>
    <t>本市职工</t>
    <phoneticPr fontId="3" type="noConversion"/>
  </si>
  <si>
    <t>0592</t>
    <phoneticPr fontId="82" type="noConversion"/>
  </si>
  <si>
    <t>外来职工</t>
    <phoneticPr fontId="3" type="noConversion"/>
  </si>
  <si>
    <t>广州市</t>
    <phoneticPr fontId="3" type="noConversion"/>
  </si>
  <si>
    <t>本地城镇</t>
    <phoneticPr fontId="3" type="noConversion"/>
  </si>
  <si>
    <t>020</t>
    <phoneticPr fontId="82" type="noConversion"/>
  </si>
  <si>
    <t>深圳市</t>
    <phoneticPr fontId="3" type="noConversion"/>
  </si>
  <si>
    <t>深圳户口</t>
    <phoneticPr fontId="3" type="noConversion"/>
  </si>
  <si>
    <t>3月调最低工资，7月调月平均工资</t>
    <phoneticPr fontId="82" type="noConversion"/>
  </si>
  <si>
    <t>0755</t>
    <phoneticPr fontId="82" type="noConversion"/>
  </si>
  <si>
    <t>非深圳户籍</t>
    <phoneticPr fontId="3" type="noConversion"/>
  </si>
  <si>
    <t>农民工</t>
    <phoneticPr fontId="3" type="noConversion"/>
  </si>
  <si>
    <t>中山市</t>
    <phoneticPr fontId="3" type="noConversion"/>
  </si>
  <si>
    <t>医疗7月，其他下限3月，上限7月</t>
    <phoneticPr fontId="82" type="noConversion"/>
  </si>
  <si>
    <t>0760</t>
    <phoneticPr fontId="82" type="noConversion"/>
  </si>
  <si>
    <t>柳州市</t>
    <phoneticPr fontId="3" type="noConversion"/>
  </si>
  <si>
    <t>0772</t>
    <phoneticPr fontId="82" type="noConversion"/>
  </si>
  <si>
    <t>南宁市</t>
    <phoneticPr fontId="3" type="noConversion"/>
  </si>
  <si>
    <t>0771</t>
    <phoneticPr fontId="82" type="noConversion"/>
  </si>
  <si>
    <t>石家庄</t>
    <phoneticPr fontId="3" type="noConversion"/>
  </si>
  <si>
    <t>0311</t>
    <phoneticPr fontId="82" type="noConversion"/>
  </si>
  <si>
    <t>邯郸市</t>
    <phoneticPr fontId="82" type="noConversion"/>
  </si>
  <si>
    <t>0310</t>
    <phoneticPr fontId="82" type="noConversion"/>
  </si>
  <si>
    <t>廊坊市</t>
    <phoneticPr fontId="82" type="noConversion"/>
  </si>
  <si>
    <t>0316</t>
    <phoneticPr fontId="82" type="noConversion"/>
  </si>
  <si>
    <t>郴州市</t>
    <phoneticPr fontId="3" type="noConversion"/>
  </si>
  <si>
    <t>1月调整</t>
    <phoneticPr fontId="82" type="noConversion"/>
  </si>
  <si>
    <t>0735</t>
    <phoneticPr fontId="82" type="noConversion"/>
  </si>
  <si>
    <t>娄底市</t>
    <phoneticPr fontId="82" type="noConversion"/>
  </si>
  <si>
    <t>城镇职工</t>
  </si>
  <si>
    <t>4月调整生育保险</t>
    <phoneticPr fontId="82" type="noConversion"/>
  </si>
  <si>
    <t>0738</t>
    <phoneticPr fontId="82" type="noConversion"/>
  </si>
  <si>
    <t>北京市</t>
  </si>
  <si>
    <t>上海市</t>
  </si>
  <si>
    <t>天津市</t>
  </si>
  <si>
    <t>重庆市</t>
  </si>
  <si>
    <t>苏州市</t>
  </si>
  <si>
    <t>镇江市</t>
  </si>
  <si>
    <t>昆山市</t>
  </si>
  <si>
    <t>南京市</t>
  </si>
  <si>
    <t>常熟市</t>
  </si>
  <si>
    <t>无锡市</t>
  </si>
  <si>
    <t>连云港市</t>
  </si>
  <si>
    <t>南通市</t>
  </si>
  <si>
    <t>仪征市</t>
  </si>
  <si>
    <t>宿迁市</t>
  </si>
  <si>
    <t>扬州市</t>
  </si>
  <si>
    <t>徐州市</t>
  </si>
  <si>
    <t>常州市</t>
  </si>
  <si>
    <t>杭州市</t>
  </si>
  <si>
    <t>嘉兴市</t>
  </si>
  <si>
    <t>宁波市</t>
  </si>
  <si>
    <t>湖州市</t>
  </si>
  <si>
    <t>绍兴市</t>
  </si>
  <si>
    <t>衢州市</t>
  </si>
  <si>
    <t>台州市</t>
  </si>
  <si>
    <t>温州市</t>
  </si>
  <si>
    <t>舟山市</t>
  </si>
  <si>
    <t>合肥市</t>
  </si>
  <si>
    <t>芜湖市</t>
  </si>
  <si>
    <t>滁州市</t>
  </si>
  <si>
    <t>马鞍山市</t>
  </si>
  <si>
    <t>淮北市</t>
  </si>
  <si>
    <t>成都市</t>
  </si>
  <si>
    <t>绵阳市</t>
  </si>
  <si>
    <t>长春市</t>
  </si>
  <si>
    <t>沈阳市</t>
  </si>
  <si>
    <t>大连市</t>
  </si>
  <si>
    <t>郑州市</t>
  </si>
  <si>
    <t>洛阳市</t>
  </si>
  <si>
    <t>武汉市</t>
  </si>
  <si>
    <t>哈尔滨市</t>
  </si>
  <si>
    <t>太原市</t>
  </si>
  <si>
    <t>西安市</t>
  </si>
  <si>
    <t>昆明市</t>
  </si>
  <si>
    <t>九江市</t>
  </si>
  <si>
    <t>南昌市</t>
  </si>
  <si>
    <t>吉安市</t>
  </si>
  <si>
    <t>济南市</t>
  </si>
  <si>
    <t>烟台市</t>
  </si>
  <si>
    <t>青岛市</t>
  </si>
  <si>
    <t>淄博市</t>
  </si>
  <si>
    <t>日照市</t>
  </si>
  <si>
    <t>济宁市</t>
  </si>
  <si>
    <t>临沂市</t>
  </si>
  <si>
    <t>福州市</t>
  </si>
  <si>
    <t>厦门市</t>
  </si>
  <si>
    <t>广州市</t>
  </si>
  <si>
    <t>深圳市</t>
  </si>
  <si>
    <t>中山市</t>
  </si>
  <si>
    <t>柳州市</t>
  </si>
  <si>
    <t>南宁市</t>
  </si>
  <si>
    <t>石家庄</t>
  </si>
  <si>
    <t>邯郸市</t>
  </si>
  <si>
    <t>廊坊市</t>
  </si>
  <si>
    <t>郴州市</t>
  </si>
  <si>
    <t>娄底市</t>
  </si>
  <si>
    <t>户籍类型</t>
    <phoneticPr fontId="3" type="noConversion"/>
  </si>
  <si>
    <t>选择城市:</t>
    <phoneticPr fontId="3" type="noConversion"/>
  </si>
  <si>
    <t>公积金</t>
  </si>
  <si>
    <t>公积金</t>
    <phoneticPr fontId="3" type="noConversion"/>
  </si>
  <si>
    <t>大区</t>
    <phoneticPr fontId="3" type="noConversion"/>
  </si>
  <si>
    <t>省份</t>
    <phoneticPr fontId="3" type="noConversion"/>
  </si>
  <si>
    <t>城市</t>
    <phoneticPr fontId="3" type="noConversion"/>
  </si>
  <si>
    <t>产品</t>
    <phoneticPr fontId="3" type="noConversion"/>
  </si>
  <si>
    <t>企业比例</t>
    <phoneticPr fontId="3" type="noConversion"/>
  </si>
  <si>
    <t>个人比例</t>
    <phoneticPr fontId="3" type="noConversion"/>
  </si>
  <si>
    <t>企业最高基数</t>
    <phoneticPr fontId="3" type="noConversion"/>
  </si>
  <si>
    <t>企业最低基数</t>
    <phoneticPr fontId="3" type="noConversion"/>
  </si>
  <si>
    <t>个人最高基数</t>
    <phoneticPr fontId="3" type="noConversion"/>
  </si>
  <si>
    <t>个人最低基数</t>
    <phoneticPr fontId="3" type="noConversion"/>
  </si>
  <si>
    <t>社平工资</t>
    <phoneticPr fontId="3" type="noConversion"/>
  </si>
  <si>
    <t>每年基数调整时间</t>
    <phoneticPr fontId="3" type="noConversion"/>
  </si>
  <si>
    <t>北区</t>
    <phoneticPr fontId="3" type="noConversion"/>
  </si>
  <si>
    <t>北京</t>
    <phoneticPr fontId="3" type="noConversion"/>
  </si>
  <si>
    <t>每年4月</t>
    <phoneticPr fontId="3" type="noConversion"/>
  </si>
  <si>
    <t>正常10%；农民工1%</t>
  </si>
  <si>
    <t>正常2%+3元；农民工0</t>
  </si>
  <si>
    <t>正常12603；
农民工2521</t>
    <phoneticPr fontId="3" type="noConversion"/>
  </si>
  <si>
    <t>　正常2521；
农民工2521</t>
    <phoneticPr fontId="3" type="noConversion"/>
  </si>
  <si>
    <t>正常12603；
农民工0　</t>
    <phoneticPr fontId="3" type="noConversion"/>
  </si>
  <si>
    <t>正常2521；
农民工0　</t>
    <phoneticPr fontId="3" type="noConversion"/>
  </si>
  <si>
    <t>根据企业行业性质决定，北京易才0.4%　</t>
  </si>
  <si>
    <t>城镇12603；
农户12603　</t>
    <phoneticPr fontId="3" type="noConversion"/>
  </si>
  <si>
    <t>城镇1680；
农户2521　</t>
    <phoneticPr fontId="3" type="noConversion"/>
  </si>
  <si>
    <t>北京户藉12603；
非北京户藉0　</t>
    <phoneticPr fontId="3" type="noConversion"/>
  </si>
  <si>
    <t>北京户藉2521；
非北京户藉0　</t>
    <phoneticPr fontId="3" type="noConversion"/>
  </si>
  <si>
    <t>城镇0.2%；农户0　</t>
  </si>
  <si>
    <t>　东城区1160；非东城区1318</t>
  </si>
  <si>
    <t>东城区1160；非东城区1318　</t>
  </si>
  <si>
    <t>每年7月</t>
    <phoneticPr fontId="3" type="noConversion"/>
  </si>
  <si>
    <t>天津</t>
  </si>
  <si>
    <r>
      <t>天津</t>
    </r>
    <r>
      <rPr>
        <sz val="10"/>
        <rFont val="Arial"/>
        <family val="2"/>
      </rPr>
      <t xml:space="preserve"> </t>
    </r>
    <phoneticPr fontId="3" type="noConversion"/>
  </si>
  <si>
    <t>每年1月</t>
    <phoneticPr fontId="3" type="noConversion"/>
  </si>
  <si>
    <r>
      <t>城镇1%，农业户口0%</t>
    </r>
    <r>
      <rPr>
        <sz val="10"/>
        <rFont val="宋体"/>
        <family val="3"/>
        <charset val="134"/>
      </rPr>
      <t>　</t>
    </r>
  </si>
  <si>
    <t>每年7月　</t>
    <phoneticPr fontId="3" type="noConversion"/>
  </si>
  <si>
    <t>河北</t>
    <phoneticPr fontId="3" type="noConversion"/>
  </si>
  <si>
    <t>无</t>
  </si>
  <si>
    <t>每年6-7月　</t>
    <phoneticPr fontId="3" type="noConversion"/>
  </si>
  <si>
    <t>无　</t>
  </si>
  <si>
    <t>　无</t>
  </si>
  <si>
    <t>无　</t>
    <phoneticPr fontId="3" type="noConversion"/>
  </si>
  <si>
    <t>河南</t>
    <phoneticPr fontId="3" type="noConversion"/>
  </si>
  <si>
    <t>郑州</t>
    <phoneticPr fontId="3" type="noConversion"/>
  </si>
  <si>
    <t>无上限</t>
    <phoneticPr fontId="3" type="noConversion"/>
  </si>
  <si>
    <t>山西</t>
  </si>
  <si>
    <t>太原</t>
    <phoneticPr fontId="3" type="noConversion"/>
  </si>
  <si>
    <t>山东</t>
  </si>
  <si>
    <t>济南</t>
    <phoneticPr fontId="3" type="noConversion"/>
  </si>
  <si>
    <t>每年4月　</t>
    <phoneticPr fontId="3" type="noConversion"/>
  </si>
  <si>
    <t>每年5月　</t>
    <phoneticPr fontId="3" type="noConversion"/>
  </si>
  <si>
    <t>青岛</t>
    <phoneticPr fontId="3" type="noConversion"/>
  </si>
  <si>
    <t>7137（农业的养老、工伤1427）</t>
    <phoneticPr fontId="3" type="noConversion"/>
  </si>
  <si>
    <t>每年1月　</t>
    <phoneticPr fontId="3" type="noConversion"/>
  </si>
  <si>
    <t>1%（农业户口不缴）</t>
  </si>
  <si>
    <t>辽宁</t>
    <phoneticPr fontId="3" type="noConversion"/>
  </si>
  <si>
    <t>大连</t>
    <phoneticPr fontId="3" type="noConversion"/>
  </si>
  <si>
    <t>10%/25%</t>
  </si>
  <si>
    <t>10%/15%　</t>
  </si>
  <si>
    <t>大连开发区</t>
    <phoneticPr fontId="3" type="noConversion"/>
  </si>
  <si>
    <t>每月2元　</t>
  </si>
  <si>
    <t>1%or0　</t>
  </si>
  <si>
    <t>沈阳</t>
    <phoneticPr fontId="3" type="noConversion"/>
  </si>
  <si>
    <t>吉林</t>
    <phoneticPr fontId="3" type="noConversion"/>
  </si>
  <si>
    <t>长春</t>
    <phoneticPr fontId="3" type="noConversion"/>
  </si>
  <si>
    <t>不定，大约6月左右　</t>
    <phoneticPr fontId="3" type="noConversion"/>
  </si>
  <si>
    <t>3月，上下限调整6月左右　</t>
    <phoneticPr fontId="3" type="noConversion"/>
  </si>
  <si>
    <t>不定，大约6月左右</t>
    <phoneticPr fontId="3" type="noConversion"/>
  </si>
  <si>
    <t>7-12%　</t>
  </si>
  <si>
    <t>黑龙江</t>
    <phoneticPr fontId="3" type="noConversion"/>
  </si>
  <si>
    <t>哈尔滨</t>
  </si>
  <si>
    <t>每年4月申报（7-8月调整并补差）</t>
    <phoneticPr fontId="3" type="noConversion"/>
  </si>
  <si>
    <t>7.5%+2.5大病</t>
  </si>
  <si>
    <t>2%+2.5大病</t>
  </si>
  <si>
    <t>每年4月申报</t>
  </si>
  <si>
    <t>0.5%</t>
  </si>
  <si>
    <t>0.6%</t>
  </si>
  <si>
    <t>2%</t>
  </si>
  <si>
    <t>1%</t>
  </si>
  <si>
    <t>8%-12%</t>
  </si>
  <si>
    <t>每年7月　</t>
  </si>
  <si>
    <t>内蒙</t>
    <phoneticPr fontId="3" type="noConversion"/>
  </si>
  <si>
    <t>包头</t>
    <phoneticPr fontId="3" type="noConversion"/>
  </si>
  <si>
    <t>呼和浩特</t>
    <phoneticPr fontId="3" type="noConversion"/>
  </si>
  <si>
    <t>每年5月或6月</t>
    <phoneticPr fontId="3" type="noConversion"/>
  </si>
  <si>
    <t>0.6%、1.2%</t>
    <phoneticPr fontId="3" type="noConversion"/>
  </si>
  <si>
    <t>6%、8%、10%、12%</t>
    <phoneticPr fontId="3" type="noConversion"/>
  </si>
  <si>
    <t>东区</t>
    <phoneticPr fontId="3" type="noConversion"/>
  </si>
  <si>
    <t>上海</t>
  </si>
  <si>
    <t>养老</t>
  </si>
  <si>
    <t>医疗</t>
  </si>
  <si>
    <t>工伤</t>
  </si>
  <si>
    <t>生育</t>
  </si>
  <si>
    <t>失业</t>
  </si>
  <si>
    <t>上海外来人员（三险）</t>
    <phoneticPr fontId="3" type="noConversion"/>
  </si>
  <si>
    <t>养老【外来人员】</t>
    <phoneticPr fontId="3" type="noConversion"/>
  </si>
  <si>
    <t>医疗【外来人员】</t>
    <phoneticPr fontId="3" type="noConversion"/>
  </si>
  <si>
    <t>工伤【外来人员】</t>
    <phoneticPr fontId="3" type="noConversion"/>
  </si>
  <si>
    <t>上海（原小城镇）</t>
    <phoneticPr fontId="3" type="noConversion"/>
  </si>
  <si>
    <t>养老【原小城镇】</t>
    <phoneticPr fontId="3" type="noConversion"/>
  </si>
  <si>
    <t>医疗【原小城镇】</t>
    <phoneticPr fontId="3" type="noConversion"/>
  </si>
  <si>
    <t>工伤【原小城镇】</t>
    <phoneticPr fontId="3" type="noConversion"/>
  </si>
  <si>
    <t>生育【原小城镇】</t>
    <phoneticPr fontId="3" type="noConversion"/>
  </si>
  <si>
    <t>失业【原小城镇】</t>
    <phoneticPr fontId="3" type="noConversion"/>
  </si>
  <si>
    <t>江苏</t>
    <phoneticPr fontId="3" type="noConversion"/>
  </si>
  <si>
    <t>南京</t>
    <phoneticPr fontId="3" type="noConversion"/>
  </si>
  <si>
    <t>苏州</t>
  </si>
  <si>
    <t>8%,12%　</t>
  </si>
  <si>
    <t>　8%,12%</t>
  </si>
  <si>
    <t>苏州</t>
    <phoneticPr fontId="3" type="noConversion"/>
  </si>
  <si>
    <t>2%+5</t>
    <phoneticPr fontId="3" type="noConversion"/>
  </si>
  <si>
    <t>10%或12%</t>
    <phoneticPr fontId="3" type="noConversion"/>
  </si>
  <si>
    <t>苏州园区</t>
    <phoneticPr fontId="3" type="noConversion"/>
  </si>
  <si>
    <r>
      <t>2%</t>
    </r>
    <r>
      <rPr>
        <sz val="10"/>
        <rFont val="宋体"/>
        <family val="3"/>
        <charset val="134"/>
      </rPr>
      <t>+5</t>
    </r>
    <phoneticPr fontId="3" type="noConversion"/>
  </si>
  <si>
    <t>公积金（甲类）</t>
    <phoneticPr fontId="3" type="noConversion"/>
  </si>
  <si>
    <t>公积金（乙类）</t>
    <phoneticPr fontId="3" type="noConversion"/>
  </si>
  <si>
    <t>南通</t>
    <phoneticPr fontId="3" type="noConversion"/>
  </si>
  <si>
    <r>
      <t>每年3月调整上年度平均工资、</t>
    </r>
    <r>
      <rPr>
        <sz val="10"/>
        <rFont val="宋体"/>
        <family val="3"/>
        <charset val="134"/>
      </rPr>
      <t>7月调整上下限</t>
    </r>
    <phoneticPr fontId="3" type="noConversion"/>
  </si>
  <si>
    <r>
      <t>8</t>
    </r>
    <r>
      <rPr>
        <sz val="10"/>
        <rFont val="宋体"/>
        <family val="3"/>
        <charset val="134"/>
      </rPr>
      <t>-12</t>
    </r>
    <r>
      <rPr>
        <sz val="10"/>
        <rFont val="宋体"/>
        <family val="3"/>
        <charset val="134"/>
      </rPr>
      <t>%</t>
    </r>
    <phoneticPr fontId="3" type="noConversion"/>
  </si>
  <si>
    <t>每年7月份</t>
    <phoneticPr fontId="3" type="noConversion"/>
  </si>
  <si>
    <t>扬州</t>
    <phoneticPr fontId="3" type="noConversion"/>
  </si>
  <si>
    <t>2%+3</t>
  </si>
  <si>
    <t>无锡</t>
    <phoneticPr fontId="3" type="noConversion"/>
  </si>
  <si>
    <t>8-12%</t>
    <phoneticPr fontId="3" type="noConversion"/>
  </si>
  <si>
    <t>镇江</t>
    <phoneticPr fontId="3" type="noConversion"/>
  </si>
  <si>
    <t>每年10月</t>
    <phoneticPr fontId="3" type="noConversion"/>
  </si>
  <si>
    <t>泰州</t>
    <phoneticPr fontId="3" type="noConversion"/>
  </si>
  <si>
    <r>
      <t>21%（</t>
    </r>
    <r>
      <rPr>
        <sz val="10"/>
        <rFont val="宋体"/>
        <family val="3"/>
        <charset val="134"/>
      </rPr>
      <t>2012</t>
    </r>
    <r>
      <rPr>
        <sz val="10"/>
        <rFont val="宋体"/>
        <family val="3"/>
        <charset val="134"/>
      </rPr>
      <t>年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月—</t>
    </r>
    <r>
      <rPr>
        <sz val="10"/>
        <rFont val="宋体"/>
        <family val="3"/>
        <charset val="134"/>
      </rPr>
      <t>2012</t>
    </r>
    <r>
      <rPr>
        <sz val="10"/>
        <rFont val="宋体"/>
        <family val="3"/>
        <charset val="134"/>
      </rPr>
      <t>年</t>
    </r>
    <r>
      <rPr>
        <sz val="10"/>
        <rFont val="宋体"/>
        <family val="3"/>
        <charset val="134"/>
      </rPr>
      <t>12</t>
    </r>
    <r>
      <rPr>
        <sz val="10"/>
        <rFont val="宋体"/>
        <family val="3"/>
        <charset val="134"/>
      </rPr>
      <t>月，养老保险企业缴费比例下降为</t>
    </r>
    <r>
      <rPr>
        <sz val="10"/>
        <rFont val="宋体"/>
        <family val="3"/>
        <charset val="134"/>
      </rPr>
      <t>20.5%）</t>
    </r>
    <phoneticPr fontId="3" type="noConversion"/>
  </si>
  <si>
    <t>9%  大病单位0.5%</t>
    <phoneticPr fontId="3" type="noConversion"/>
  </si>
  <si>
    <t>2%  大病个人0.3%</t>
    <phoneticPr fontId="3" type="noConversion"/>
  </si>
  <si>
    <t>常州</t>
    <phoneticPr fontId="3" type="noConversion"/>
  </si>
  <si>
    <t>8%、10%、12%（任选其一）</t>
    <phoneticPr fontId="3" type="noConversion"/>
  </si>
  <si>
    <t>每年6月</t>
    <phoneticPr fontId="3" type="noConversion"/>
  </si>
  <si>
    <t>浙江</t>
    <phoneticPr fontId="3" type="noConversion"/>
  </si>
  <si>
    <t>杭州</t>
    <phoneticPr fontId="3" type="noConversion"/>
  </si>
  <si>
    <t>城镇1%（农村户口0%）</t>
    <phoneticPr fontId="3" type="noConversion"/>
  </si>
  <si>
    <t>每年7月</t>
  </si>
  <si>
    <t>温州</t>
    <phoneticPr fontId="3" type="noConversion"/>
  </si>
  <si>
    <t>3月调整4月生效</t>
  </si>
  <si>
    <r>
      <t>2%+9</t>
    </r>
    <r>
      <rPr>
        <sz val="10"/>
        <rFont val="微软雅黑"/>
        <family val="2"/>
        <charset val="134"/>
      </rPr>
      <t>　</t>
    </r>
  </si>
  <si>
    <t>宁波</t>
    <phoneticPr fontId="3" type="noConversion"/>
  </si>
  <si>
    <t>1685（外来养老、失业1310）</t>
  </si>
  <si>
    <t>10% 大病1%</t>
  </si>
  <si>
    <t>2%（外来0）</t>
  </si>
  <si>
    <t>1%（农村0）</t>
  </si>
  <si>
    <t>每年6月　</t>
  </si>
  <si>
    <t>嘉兴</t>
    <phoneticPr fontId="3" type="noConversion"/>
  </si>
  <si>
    <t>每年5月</t>
  </si>
  <si>
    <t>1%(农村0）</t>
    <phoneticPr fontId="3" type="noConversion"/>
  </si>
  <si>
    <t>每年4-6月</t>
  </si>
  <si>
    <t>湖州</t>
    <phoneticPr fontId="3" type="noConversion"/>
  </si>
  <si>
    <t>每年6月</t>
  </si>
  <si>
    <t>绍兴</t>
    <phoneticPr fontId="3" type="noConversion"/>
  </si>
  <si>
    <r>
      <t>每年</t>
    </r>
    <r>
      <rPr>
        <b/>
        <sz val="10"/>
        <rFont val="Arial"/>
        <family val="2"/>
      </rPr>
      <t>6</t>
    </r>
    <r>
      <rPr>
        <sz val="10"/>
        <rFont val="宋体"/>
        <family val="3"/>
        <charset val="134"/>
      </rPr>
      <t>月</t>
    </r>
    <phoneticPr fontId="3" type="noConversion"/>
  </si>
  <si>
    <t>安徽</t>
    <phoneticPr fontId="3" type="noConversion"/>
  </si>
  <si>
    <t>合肥</t>
  </si>
  <si>
    <t>南区</t>
    <phoneticPr fontId="3" type="noConversion"/>
  </si>
  <si>
    <t>湖北</t>
    <phoneticPr fontId="3" type="noConversion"/>
  </si>
  <si>
    <t>武汉</t>
    <phoneticPr fontId="3" type="noConversion"/>
  </si>
  <si>
    <t>　2%+7元(大病)</t>
  </si>
  <si>
    <t>湖南</t>
    <phoneticPr fontId="3" type="noConversion"/>
  </si>
  <si>
    <t>长沙</t>
    <phoneticPr fontId="3" type="noConversion"/>
  </si>
  <si>
    <t>2540/月</t>
    <phoneticPr fontId="3" type="noConversion"/>
  </si>
  <si>
    <t>4月开始7月结束　</t>
  </si>
  <si>
    <t>6%-12%</t>
    <phoneticPr fontId="3" type="noConversion"/>
  </si>
  <si>
    <t>3195/月</t>
    <phoneticPr fontId="3" type="noConversion"/>
  </si>
  <si>
    <t>每年7月开始　</t>
  </si>
  <si>
    <t>江西</t>
    <phoneticPr fontId="3" type="noConversion"/>
  </si>
  <si>
    <t>南昌</t>
    <phoneticPr fontId="3" type="noConversion"/>
  </si>
  <si>
    <t>0.4-2.4%</t>
  </si>
  <si>
    <t>广东</t>
    <phoneticPr fontId="3" type="noConversion"/>
  </si>
  <si>
    <t>深圳</t>
    <phoneticPr fontId="3" type="noConversion"/>
  </si>
  <si>
    <t>深户11%，非深户10%</t>
  </si>
  <si>
    <t>深户2523，非深户1320</t>
    <phoneticPr fontId="3" type="noConversion"/>
  </si>
  <si>
    <t xml:space="preserve">综合医疗基本医疗保险、地方补充医疗保险、生育医疗保险各以职工月工资总额为缴费基数缴交6%、0.5%、0.5%；
住院医疗缴纳费率调整为0.6%
农民工医疗缴纳调整为8元
</t>
    <phoneticPr fontId="3" type="noConversion"/>
  </si>
  <si>
    <t>综合医疗2%，住院医疗0.2%，劳务工医疗4元</t>
  </si>
  <si>
    <t>0.5%，1%，1.5%</t>
    <phoneticPr fontId="3" type="noConversion"/>
  </si>
  <si>
    <t>综合医疗0.5%，住院医疗0.2%</t>
  </si>
  <si>
    <t>深户2336，非深户1320</t>
  </si>
  <si>
    <t>5%－20%</t>
  </si>
  <si>
    <t>暂时没有强制调整时间，企业自行决定</t>
  </si>
  <si>
    <t>广州</t>
    <phoneticPr fontId="3" type="noConversion"/>
  </si>
  <si>
    <t>8% 重大疾病：0.26%</t>
    <phoneticPr fontId="3" type="noConversion"/>
  </si>
  <si>
    <t>13623 重大疾病、外来、住院、补充医疗：4541</t>
    <phoneticPr fontId="3" type="noConversion"/>
  </si>
  <si>
    <t>2725 重大疾病、外来、住院、补充医疗：4541</t>
    <phoneticPr fontId="3" type="noConversion"/>
  </si>
  <si>
    <t>5%、8%、10%、12%、20%</t>
    <phoneticPr fontId="3" type="noConversion"/>
  </si>
  <si>
    <t>5%-20%</t>
    <phoneticPr fontId="3" type="noConversion"/>
  </si>
  <si>
    <t>东莞</t>
    <phoneticPr fontId="3" type="noConversion"/>
  </si>
  <si>
    <t>0.5%（东莞户籍）</t>
  </si>
  <si>
    <t>公积金10%</t>
  </si>
  <si>
    <t>佛山</t>
    <phoneticPr fontId="3" type="noConversion"/>
  </si>
  <si>
    <t>1%（农业户口不缴）</t>
    <phoneticPr fontId="3" type="noConversion"/>
  </si>
  <si>
    <t>单位和职工个人缴存部分合计，最高不超过6180</t>
    <phoneticPr fontId="3" type="noConversion"/>
  </si>
  <si>
    <t>单位和职工个人缴存部分合计，最低不低于171</t>
    <phoneticPr fontId="3" type="noConversion"/>
  </si>
  <si>
    <t>汕头</t>
    <phoneticPr fontId="3" type="noConversion"/>
  </si>
  <si>
    <t>8月申报当月执行月</t>
    <phoneticPr fontId="3" type="noConversion"/>
  </si>
  <si>
    <t>1693/2116</t>
    <phoneticPr fontId="3" type="noConversion"/>
  </si>
  <si>
    <t>每年8月申报每年9月执行</t>
  </si>
  <si>
    <t>8申报当月执行月</t>
  </si>
  <si>
    <t>5-12%</t>
    <phoneticPr fontId="3" type="noConversion"/>
  </si>
  <si>
    <t>汕尾</t>
    <phoneticPr fontId="3" type="noConversion"/>
  </si>
  <si>
    <t>每年7月或1月</t>
    <phoneticPr fontId="3" type="noConversion"/>
  </si>
  <si>
    <t>5倍汕尾市区上一年度平均工资作为缴存基数；再乘以10％～30％就是所缴存的公积金额度</t>
    <phoneticPr fontId="3" type="noConversion"/>
  </si>
  <si>
    <t>揭阳</t>
    <phoneticPr fontId="3" type="noConversion"/>
  </si>
  <si>
    <t>农业户籍0% 城镇户籍1%</t>
  </si>
  <si>
    <t>珠海</t>
    <phoneticPr fontId="3" type="noConversion"/>
  </si>
  <si>
    <t>6% 大病2%</t>
    <phoneticPr fontId="3" type="noConversion"/>
  </si>
  <si>
    <t>2% 大病0</t>
    <phoneticPr fontId="3" type="noConversion"/>
  </si>
  <si>
    <t>城镇1%农业无</t>
  </si>
  <si>
    <t>5% 8%</t>
    <phoneticPr fontId="3" type="noConversion"/>
  </si>
  <si>
    <t>江门</t>
    <phoneticPr fontId="3" type="noConversion"/>
  </si>
  <si>
    <t>8-20%</t>
    <phoneticPr fontId="3" type="noConversion"/>
  </si>
  <si>
    <t>潮州</t>
  </si>
  <si>
    <t>每年7月，有时每年1月再调整一次。</t>
    <phoneticPr fontId="3" type="noConversion"/>
  </si>
  <si>
    <t>15795（市直）
10415（枫溪区)</t>
    <phoneticPr fontId="3" type="noConversion"/>
  </si>
  <si>
    <t>每年7月（6月下旬申请）　</t>
  </si>
  <si>
    <t>中山</t>
  </si>
  <si>
    <t>每年6、7、8月</t>
    <phoneticPr fontId="3" type="noConversion"/>
  </si>
  <si>
    <t>3.5%或9%</t>
    <phoneticPr fontId="3" type="noConversion"/>
  </si>
  <si>
    <t>0.5%或3%</t>
  </si>
  <si>
    <t>5%-20%</t>
  </si>
  <si>
    <t>惠州</t>
  </si>
  <si>
    <t>7401；住院、补充医疗2467</t>
    <phoneticPr fontId="3" type="noConversion"/>
  </si>
  <si>
    <t>1480；住院、补充医疗2467</t>
    <phoneticPr fontId="3" type="noConversion"/>
  </si>
  <si>
    <t>5%，12%，20%　</t>
  </si>
  <si>
    <t>广西</t>
    <phoneticPr fontId="3" type="noConversion"/>
  </si>
  <si>
    <t>南宁</t>
    <phoneticPr fontId="3" type="noConversion"/>
  </si>
  <si>
    <t>福建</t>
    <phoneticPr fontId="3" type="noConversion"/>
  </si>
  <si>
    <t>福州</t>
    <phoneticPr fontId="3" type="noConversion"/>
  </si>
  <si>
    <t>每年3月</t>
    <phoneticPr fontId="3" type="noConversion"/>
  </si>
  <si>
    <t>每年5月</t>
    <phoneticPr fontId="3" type="noConversion"/>
  </si>
  <si>
    <t>厦门</t>
    <phoneticPr fontId="3" type="noConversion"/>
  </si>
  <si>
    <t>本市14%
外来12%</t>
    <phoneticPr fontId="3" type="noConversion"/>
  </si>
  <si>
    <t>本市8%
外来8%</t>
    <phoneticPr fontId="3" type="noConversion"/>
  </si>
  <si>
    <t>本市10071
外来1100</t>
    <phoneticPr fontId="3" type="noConversion"/>
  </si>
  <si>
    <t>本市2014.2
外来1100</t>
    <phoneticPr fontId="3" type="noConversion"/>
  </si>
  <si>
    <t>7月</t>
  </si>
  <si>
    <t>本市8%
外来4%</t>
    <phoneticPr fontId="3" type="noConversion"/>
  </si>
  <si>
    <t>本市2%
外来2%</t>
    <phoneticPr fontId="3" type="noConversion"/>
  </si>
  <si>
    <t>本市10071
外来2014.2</t>
    <phoneticPr fontId="3" type="noConversion"/>
  </si>
  <si>
    <t>本市2014.2
外来2014.2</t>
    <phoneticPr fontId="3" type="noConversion"/>
  </si>
  <si>
    <t>本市0.5%
外来0.5%</t>
    <phoneticPr fontId="3" type="noConversion"/>
  </si>
  <si>
    <t>无上限</t>
  </si>
  <si>
    <t>本市0.8%
外来0.8%</t>
    <phoneticPr fontId="3" type="noConversion"/>
  </si>
  <si>
    <t>本市10071
外来10071</t>
    <phoneticPr fontId="3" type="noConversion"/>
  </si>
  <si>
    <t>本市10071外来10071</t>
  </si>
  <si>
    <t>本市2014.2外来2014.2</t>
  </si>
  <si>
    <t>本市2%
外来0%</t>
    <phoneticPr fontId="3" type="noConversion"/>
  </si>
  <si>
    <t>本市无上限</t>
  </si>
  <si>
    <t>本市2014.2</t>
  </si>
  <si>
    <t>泉州</t>
    <phoneticPr fontId="3" type="noConversion"/>
  </si>
  <si>
    <t>7月</t>
    <phoneticPr fontId="3" type="noConversion"/>
  </si>
  <si>
    <t>6月操作7月生效</t>
    <phoneticPr fontId="3" type="noConversion"/>
  </si>
  <si>
    <t>西区</t>
    <phoneticPr fontId="3" type="noConversion"/>
  </si>
  <si>
    <t>陕西</t>
    <phoneticPr fontId="3" type="noConversion"/>
  </si>
  <si>
    <t>西安</t>
    <phoneticPr fontId="3" type="noConversion"/>
  </si>
  <si>
    <t>与上年度社平出台的时间相近　</t>
  </si>
  <si>
    <t>新疆</t>
    <phoneticPr fontId="3" type="noConversion"/>
  </si>
  <si>
    <t>乌鲁木齐</t>
    <phoneticPr fontId="3" type="noConversion"/>
  </si>
  <si>
    <t>甘肃</t>
    <phoneticPr fontId="3" type="noConversion"/>
  </si>
  <si>
    <t>兰州</t>
    <phoneticPr fontId="3" type="noConversion"/>
  </si>
  <si>
    <t>每年1月</t>
  </si>
  <si>
    <r>
      <t>每年1月</t>
    </r>
    <r>
      <rPr>
        <b/>
        <sz val="10.5"/>
        <rFont val="宋体"/>
        <family val="3"/>
        <charset val="134"/>
      </rPr>
      <t>　</t>
    </r>
  </si>
  <si>
    <t>宁夏</t>
    <phoneticPr fontId="3" type="noConversion"/>
  </si>
  <si>
    <t>银川</t>
    <phoneticPr fontId="3" type="noConversion"/>
  </si>
  <si>
    <t>每年4月</t>
  </si>
  <si>
    <r>
      <t>缴费额不超过</t>
    </r>
    <r>
      <rPr>
        <sz val="10.5"/>
        <rFont val="宋体"/>
        <family val="3"/>
        <charset val="134"/>
      </rPr>
      <t>2208</t>
    </r>
    <phoneticPr fontId="3" type="noConversion"/>
  </si>
  <si>
    <t>青海</t>
    <phoneticPr fontId="3" type="noConversion"/>
  </si>
  <si>
    <t>西宁</t>
    <phoneticPr fontId="3" type="noConversion"/>
  </si>
  <si>
    <r>
      <t>每年1月</t>
    </r>
    <r>
      <rPr>
        <b/>
        <sz val="10.5"/>
        <rFont val="宋体"/>
        <family val="3"/>
        <charset val="134"/>
      </rPr>
      <t>　</t>
    </r>
    <phoneticPr fontId="3" type="noConversion"/>
  </si>
  <si>
    <t>5-12%</t>
  </si>
  <si>
    <r>
      <t>每年7月</t>
    </r>
    <r>
      <rPr>
        <b/>
        <sz val="10.5"/>
        <rFont val="宋体"/>
        <family val="3"/>
        <charset val="134"/>
      </rPr>
      <t>　</t>
    </r>
    <phoneticPr fontId="3" type="noConversion"/>
  </si>
  <si>
    <t>四川</t>
    <phoneticPr fontId="3" type="noConversion"/>
  </si>
  <si>
    <t>成都</t>
    <phoneticPr fontId="3" type="noConversion"/>
  </si>
  <si>
    <t>城镇20%（本市农村、外埠农村12%）</t>
    <phoneticPr fontId="3" type="noConversion"/>
  </si>
  <si>
    <r>
      <t>每年4月</t>
    </r>
    <r>
      <rPr>
        <sz val="10.5"/>
        <rFont val="宋体"/>
        <family val="3"/>
        <charset val="134"/>
      </rPr>
      <t>　</t>
    </r>
    <phoneticPr fontId="3" type="noConversion"/>
  </si>
  <si>
    <t>城镇6.5%+1%大病（本市农村2011年3.5%+1%大病；2012年4.5%+1%大病；2013年5.5%+1%大病）（外埠农村2.5%不含大病，只能自己自愿购买大病,医保局购买）</t>
    <phoneticPr fontId="3" type="noConversion"/>
  </si>
  <si>
    <t>2%（外埠农村0%）</t>
    <phoneticPr fontId="3" type="noConversion"/>
  </si>
  <si>
    <t>1%（外埠农村0%）</t>
    <phoneticPr fontId="3" type="noConversion"/>
  </si>
  <si>
    <t>6-15%（大于12%纳入计税工资）</t>
    <phoneticPr fontId="3" type="noConversion"/>
  </si>
  <si>
    <t>16010/9604</t>
    <phoneticPr fontId="3" type="noConversion"/>
  </si>
  <si>
    <t>重庆</t>
    <phoneticPr fontId="3" type="noConversion"/>
  </si>
  <si>
    <t>2%+2</t>
    <phoneticPr fontId="3" type="noConversion"/>
  </si>
  <si>
    <t>7%、12&amp;</t>
    <phoneticPr fontId="3" type="noConversion"/>
  </si>
  <si>
    <t>云南</t>
    <phoneticPr fontId="3" type="noConversion"/>
  </si>
  <si>
    <t>昆明</t>
    <phoneticPr fontId="3" type="noConversion"/>
  </si>
  <si>
    <t xml:space="preserve">2790.5元
</t>
    <phoneticPr fontId="3" type="noConversion"/>
  </si>
  <si>
    <r>
      <t>每年1-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月调基期间不做增员业务，可报减员。每年</t>
    </r>
    <r>
      <rPr>
        <sz val="10"/>
        <rFont val="宋体"/>
        <family val="3"/>
        <charset val="134"/>
      </rPr>
      <t>4-5</t>
    </r>
    <r>
      <rPr>
        <sz val="10"/>
        <rFont val="宋体"/>
        <family val="3"/>
        <charset val="134"/>
      </rPr>
      <t>月通知调整上年平均工资，但调整须从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月份开始补缴（包含此期间离职人员）</t>
    </r>
    <phoneticPr fontId="3" type="noConversion"/>
  </si>
  <si>
    <t>10%；重特病16.74元</t>
  </si>
  <si>
    <t>医疗2%；重特病1元</t>
  </si>
  <si>
    <t>10%-12%</t>
  </si>
  <si>
    <t>西藏</t>
    <phoneticPr fontId="3" type="noConversion"/>
  </si>
  <si>
    <t>拉萨</t>
    <phoneticPr fontId="3" type="noConversion"/>
  </si>
  <si>
    <t>每年1月（虽然为社保1月调整，但是每年都是6-7月才通知上年平均工资，所以6、7月通知调整，但调整从1月份开始补缴）</t>
    <phoneticPr fontId="3" type="noConversion"/>
  </si>
  <si>
    <t>贵州</t>
  </si>
  <si>
    <t>贵阳</t>
  </si>
  <si>
    <t>每年1月（虽然社保为1月调整，但是每年都是6-7月才通知上年平均工资，所以6、7月通知调整，但调整从1月份开始补缴）</t>
    <phoneticPr fontId="3" type="noConversion"/>
  </si>
  <si>
    <t>0-1%</t>
  </si>
  <si>
    <t>每年的调整时间都不一样</t>
    <phoneticPr fontId="3" type="noConversion"/>
  </si>
  <si>
    <t>工</t>
    <phoneticPr fontId="3" type="noConversion"/>
  </si>
  <si>
    <t>生</t>
    <phoneticPr fontId="3" type="noConversion"/>
  </si>
  <si>
    <t>住    房    公积金</t>
    <phoneticPr fontId="3" type="noConversion"/>
  </si>
  <si>
    <t>养    老      保    险 (公司)</t>
    <phoneticPr fontId="3" type="noConversion"/>
  </si>
  <si>
    <t>失   业      保   险  (公司)</t>
    <phoneticPr fontId="3" type="noConversion"/>
  </si>
  <si>
    <t>医   疗      保   险  (公司)</t>
    <phoneticPr fontId="3" type="noConversion"/>
  </si>
  <si>
    <t>住    房    公积金   (公司)</t>
    <phoneticPr fontId="3" type="noConversion"/>
  </si>
  <si>
    <t>工   伤      保   险  (公司)</t>
    <phoneticPr fontId="3" type="noConversion"/>
  </si>
  <si>
    <t>会计年度</t>
    <phoneticPr fontId="3" type="noConversion"/>
  </si>
  <si>
    <t>月份</t>
    <phoneticPr fontId="3" type="noConversion"/>
  </si>
  <si>
    <t>生   育      保   险  (公司)</t>
    <phoneticPr fontId="3" type="noConversion"/>
  </si>
  <si>
    <t>上海元升财务咨询有限公司</t>
    <phoneticPr fontId="14" type="noConversion"/>
  </si>
  <si>
    <t>缴金基数</t>
    <phoneticPr fontId="3" type="noConversion"/>
  </si>
  <si>
    <t>10%%</t>
    <phoneticPr fontId="3" type="noConversion"/>
  </si>
  <si>
    <t>公积金基数</t>
    <phoneticPr fontId="3" type="noConversion"/>
  </si>
  <si>
    <t>员工性质</t>
    <phoneticPr fontId="3" type="noConversion"/>
  </si>
  <si>
    <t>全职</t>
  </si>
  <si>
    <t>工号</t>
    <phoneticPr fontId="3" type="noConversion"/>
  </si>
  <si>
    <t>上海市--城镇户口、本地农户</t>
  </si>
  <si>
    <r>
      <t>2017年全国各主要城市社保基数比例（更新至2017年4月1日）</t>
    </r>
    <r>
      <rPr>
        <sz val="11"/>
        <color indexed="8"/>
        <rFont val="宋体"/>
        <family val="3"/>
        <charset val="134"/>
      </rPr>
      <t/>
    </r>
    <phoneticPr fontId="3" type="noConversion"/>
  </si>
  <si>
    <r>
      <t>2017</t>
    </r>
    <r>
      <rPr>
        <b/>
        <sz val="12"/>
        <color indexed="57"/>
        <rFont val="宋体"/>
        <family val="3"/>
        <charset val="134"/>
      </rPr>
      <t>年</t>
    </r>
    <r>
      <rPr>
        <b/>
        <sz val="12"/>
        <color indexed="57"/>
        <rFont val="Arial"/>
        <family val="2"/>
      </rPr>
      <t>9</t>
    </r>
    <r>
      <rPr>
        <b/>
        <sz val="12"/>
        <color indexed="57"/>
        <rFont val="宋体"/>
        <family val="3"/>
        <charset val="134"/>
      </rPr>
      <t>月份</t>
    </r>
    <phoneticPr fontId="3" type="noConversion"/>
  </si>
  <si>
    <t>全职</t>
    <phoneticPr fontId="3" type="noConversion"/>
  </si>
  <si>
    <t>ABC</t>
    <phoneticPr fontId="3" type="noConversion"/>
  </si>
  <si>
    <t>CBD</t>
    <phoneticPr fontId="3" type="noConversion"/>
  </si>
  <si>
    <r>
      <rPr>
        <sz val="9"/>
        <rFont val="宋体"/>
        <family val="3"/>
        <charset val="134"/>
      </rPr>
      <t>不超过30</t>
    </r>
    <r>
      <rPr>
        <sz val="9"/>
        <rFont val="Arial"/>
        <family val="2"/>
      </rPr>
      <t>00</t>
    </r>
    <r>
      <rPr>
        <sz val="9"/>
        <rFont val="宋体"/>
        <family val="3"/>
        <charset val="134"/>
      </rPr>
      <t>元的</t>
    </r>
    <phoneticPr fontId="3" type="noConversion"/>
  </si>
  <si>
    <r>
      <rPr>
        <sz val="9"/>
        <rFont val="宋体"/>
        <family val="3"/>
        <charset val="134"/>
      </rPr>
      <t>超过</t>
    </r>
    <r>
      <rPr>
        <sz val="9"/>
        <rFont val="Arial"/>
        <family val="2"/>
      </rPr>
      <t>3000</t>
    </r>
    <r>
      <rPr>
        <sz val="9"/>
        <rFont val="宋体"/>
        <family val="3"/>
        <charset val="134"/>
      </rPr>
      <t>元至</t>
    </r>
    <r>
      <rPr>
        <sz val="9"/>
        <rFont val="Arial"/>
        <family val="2"/>
      </rPr>
      <t>12000</t>
    </r>
    <r>
      <rPr>
        <sz val="9"/>
        <rFont val="宋体"/>
        <family val="3"/>
        <charset val="134"/>
      </rPr>
      <t>元部份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</si>
</sst>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76" formatCode="&quot;¥&quot;#,##0.00_);\(&quot;¥&quot;#,##0.00\)"/>
    <numFmt numFmtId="177" formatCode="_(&quot;¥&quot;* #,##0.00_);_(&quot;¥&quot;* \(#,##0.00\);_(&quot;¥&quot;* &quot;-&quot;??_);_(@_)"/>
    <numFmt numFmtId="178" formatCode="_(* #,##0.00_);_(* \(#,##0.00\);_(* &quot;-&quot;??_);_(@_)"/>
    <numFmt numFmtId="179" formatCode="yyyy&quot;年&quot;m&quot;月&quot;;@"/>
    <numFmt numFmtId="180" formatCode="&quot;¥&quot;#,##0.00"/>
    <numFmt numFmtId="181" formatCode="#,##0.00_ "/>
    <numFmt numFmtId="182" formatCode="0.00_ "/>
    <numFmt numFmtId="183" formatCode="[DBNum1][$-804]yyyy&quot;年&quot;m&quot;月&quot;d&quot;日&quot;"/>
    <numFmt numFmtId="184" formatCode="d&quot;日&quot;"/>
    <numFmt numFmtId="185" formatCode="#.0&quot;天&quot;"/>
    <numFmt numFmtId="186" formatCode="&quot;$&quot;#,##0.00"/>
    <numFmt numFmtId="187" formatCode="yyyy&quot;-&quot;m"/>
    <numFmt numFmtId="188" formatCode="0_ "/>
    <numFmt numFmtId="189" formatCode="[$-F800]dddd\,\ mmmm\ dd\,\ yyyy"/>
    <numFmt numFmtId="190" formatCode="yy/mm;@"/>
    <numFmt numFmtId="191" formatCode="yy&quot;年&quot;m&quot;月&quot;"/>
    <numFmt numFmtId="192" formatCode="yyyy&quot;年&quot;m&quot;月&quot;d&quot;日&quot;;@"/>
    <numFmt numFmtId="193" formatCode="m&quot;月&quot;d&quot;日&quot;;@"/>
    <numFmt numFmtId="194" formatCode="#,##0.0_ "/>
    <numFmt numFmtId="195" formatCode="0.0%"/>
    <numFmt numFmtId="196" formatCode="_-* #,##0.00_-;\-* #,##0.00_-;_-* &quot;-&quot;??_-;_-@_-"/>
  </numFmts>
  <fonts count="92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6"/>
      <name val="宋体"/>
      <family val="3"/>
      <charset val="134"/>
    </font>
    <font>
      <b/>
      <sz val="18"/>
      <name val="宋体"/>
      <family val="3"/>
      <charset val="134"/>
    </font>
    <font>
      <b/>
      <sz val="18"/>
      <name val="Arial"/>
      <family val="2"/>
    </font>
    <font>
      <b/>
      <sz val="18"/>
      <color indexed="9"/>
      <name val="Arial"/>
      <family val="2"/>
    </font>
    <font>
      <b/>
      <sz val="12"/>
      <color indexed="57"/>
      <name val="Arial"/>
      <family val="2"/>
    </font>
    <font>
      <b/>
      <sz val="12"/>
      <color indexed="57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8"/>
      <name val="宋体"/>
      <family val="3"/>
      <charset val="134"/>
    </font>
    <font>
      <sz val="8"/>
      <name val="Arial"/>
      <family val="2"/>
    </font>
    <font>
      <b/>
      <sz val="9"/>
      <color indexed="9"/>
      <name val="宋体"/>
      <family val="3"/>
      <charset val="134"/>
    </font>
    <font>
      <sz val="8"/>
      <name val="宋体"/>
      <family val="3"/>
      <charset val="134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9"/>
      <color indexed="53"/>
      <name val="宋体"/>
      <family val="3"/>
      <charset val="134"/>
    </font>
    <font>
      <sz val="9"/>
      <color indexed="62"/>
      <name val="Arial"/>
      <family val="2"/>
    </font>
    <font>
      <sz val="9"/>
      <color indexed="60"/>
      <name val="Arial"/>
      <family val="2"/>
    </font>
    <font>
      <sz val="9"/>
      <color indexed="8"/>
      <name val="Tahoma"/>
      <family val="2"/>
    </font>
    <font>
      <sz val="16"/>
      <color indexed="18"/>
      <name val="Arial"/>
      <family val="2"/>
    </font>
    <font>
      <sz val="10"/>
      <color indexed="60"/>
      <name val="宋体"/>
      <family val="3"/>
      <charset val="134"/>
    </font>
    <font>
      <sz val="10"/>
      <color indexed="12"/>
      <name val="宋体"/>
      <family val="3"/>
      <charset val="134"/>
    </font>
    <font>
      <sz val="10"/>
      <color indexed="12"/>
      <name val="Arial"/>
      <family val="2"/>
    </font>
    <font>
      <b/>
      <sz val="10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10"/>
      <color indexed="60"/>
      <name val="Arial"/>
      <family val="2"/>
    </font>
    <font>
      <b/>
      <sz val="14"/>
      <color indexed="9"/>
      <name val="Arial"/>
      <family val="2"/>
    </font>
    <font>
      <b/>
      <sz val="10.5"/>
      <name val="宋体"/>
      <family val="3"/>
      <charset val="134"/>
    </font>
    <font>
      <b/>
      <sz val="14"/>
      <color indexed="60"/>
      <name val="Arial"/>
      <family val="2"/>
    </font>
    <font>
      <b/>
      <sz val="12"/>
      <color indexed="10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sz val="10"/>
      <color indexed="53"/>
      <name val="宋体"/>
      <family val="3"/>
      <charset val="134"/>
    </font>
    <font>
      <b/>
      <sz val="10"/>
      <color indexed="18"/>
      <name val="宋体"/>
      <family val="3"/>
      <charset val="134"/>
    </font>
    <font>
      <sz val="10"/>
      <color indexed="57"/>
      <name val="宋体"/>
      <family val="3"/>
      <charset val="134"/>
    </font>
    <font>
      <sz val="10"/>
      <color indexed="17"/>
      <name val="宋体"/>
      <family val="3"/>
      <charset val="134"/>
    </font>
    <font>
      <sz val="10"/>
      <color indexed="52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57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Arial"/>
      <family val="2"/>
    </font>
    <font>
      <b/>
      <sz val="10"/>
      <color indexed="60"/>
      <name val="宋体"/>
      <family val="3"/>
      <charset val="134"/>
    </font>
    <font>
      <b/>
      <sz val="10.5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color indexed="60"/>
      <name val="隶书"/>
      <family val="3"/>
      <charset val="134"/>
    </font>
    <font>
      <b/>
      <sz val="18"/>
      <color indexed="8"/>
      <name val="宋体"/>
      <family val="3"/>
      <charset val="134"/>
    </font>
    <font>
      <b/>
      <sz val="18"/>
      <color indexed="8"/>
      <name val="Times New Roman"/>
      <family val="1"/>
    </font>
    <font>
      <b/>
      <sz val="14"/>
      <color indexed="1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9"/>
      <color indexed="8"/>
      <name val="Times New Roman"/>
      <family val="1"/>
    </font>
    <font>
      <b/>
      <sz val="14"/>
      <color indexed="16"/>
      <name val="华文行楷"/>
      <family val="3"/>
      <charset val="134"/>
    </font>
    <font>
      <sz val="12"/>
      <color indexed="18"/>
      <name val="宋体"/>
      <family val="3"/>
      <charset val="134"/>
    </font>
    <font>
      <sz val="12"/>
      <color indexed="18"/>
      <name val="Times New Roman"/>
      <family val="1"/>
    </font>
    <font>
      <sz val="10"/>
      <color indexed="18"/>
      <name val="Times New Roman"/>
      <family val="1"/>
    </font>
    <font>
      <sz val="10"/>
      <color indexed="18"/>
      <name val="宋体"/>
      <family val="3"/>
      <charset val="134"/>
    </font>
    <font>
      <b/>
      <sz val="12"/>
      <color indexed="18"/>
      <name val="Times New Roman"/>
      <family val="1"/>
    </font>
    <font>
      <b/>
      <sz val="10"/>
      <color indexed="18"/>
      <name val="黑体"/>
      <family val="3"/>
      <charset val="134"/>
    </font>
    <font>
      <sz val="9"/>
      <color indexed="8"/>
      <name val="宋体"/>
      <family val="3"/>
      <charset val="134"/>
    </font>
    <font>
      <sz val="12"/>
      <color indexed="60"/>
      <name val="华文行楷"/>
      <family val="3"/>
      <charset val="134"/>
    </font>
    <font>
      <sz val="11"/>
      <name val="宋体"/>
      <family val="3"/>
      <charset val="134"/>
    </font>
    <font>
      <b/>
      <sz val="12"/>
      <color indexed="18"/>
      <name val="Arial"/>
      <family val="2"/>
    </font>
    <font>
      <sz val="10"/>
      <name val="Times New Roman"/>
      <family val="1"/>
    </font>
    <font>
      <sz val="18"/>
      <name val="黑体"/>
      <family val="3"/>
      <charset val="134"/>
    </font>
    <font>
      <sz val="14"/>
      <color indexed="12"/>
      <name val="华文彩云"/>
      <family val="3"/>
      <charset val="134"/>
    </font>
    <font>
      <sz val="10"/>
      <color indexed="41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0"/>
      <color indexed="42"/>
      <name val="宋体"/>
      <family val="3"/>
      <charset val="134"/>
    </font>
    <font>
      <sz val="10"/>
      <color indexed="11"/>
      <name val="宋体"/>
      <family val="3"/>
      <charset val="134"/>
    </font>
    <font>
      <sz val="10"/>
      <name val="黑体"/>
      <family val="3"/>
      <charset val="134"/>
    </font>
    <font>
      <b/>
      <sz val="16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12"/>
      <name val="微软雅黑"/>
      <family val="2"/>
      <charset val="134"/>
    </font>
    <font>
      <b/>
      <sz val="10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.5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indexed="42"/>
      <name val="宋体"/>
      <family val="3"/>
      <charset val="134"/>
    </font>
    <font>
      <sz val="10"/>
      <name val="Geneva"/>
      <family val="2"/>
    </font>
    <font>
      <sz val="12"/>
      <name val="Arial"/>
      <family val="2"/>
    </font>
    <font>
      <sz val="10.5"/>
      <name val="宋体"/>
      <family val="3"/>
      <charset val="134"/>
    </font>
    <font>
      <sz val="9"/>
      <color indexed="62"/>
      <name val="宋体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7"/>
        <bgColor indexed="64"/>
      </patternFill>
    </fill>
    <fill>
      <patternFill patternType="darkUp">
        <fgColor indexed="27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</fills>
  <borders count="27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40"/>
      </bottom>
      <diagonal/>
    </border>
    <border>
      <left style="thin">
        <color indexed="22"/>
      </left>
      <right style="thin">
        <color indexed="64"/>
      </right>
      <top style="medium">
        <color indexed="64"/>
      </top>
      <bottom style="medium">
        <color indexed="49"/>
      </bottom>
      <diagonal/>
    </border>
    <border>
      <left/>
      <right style="thin">
        <color indexed="22"/>
      </right>
      <top style="medium">
        <color indexed="64"/>
      </top>
      <bottom style="medium">
        <color indexed="49"/>
      </bottom>
      <diagonal/>
    </border>
    <border>
      <left style="thin">
        <color indexed="22"/>
      </left>
      <right/>
      <top style="medium">
        <color indexed="64"/>
      </top>
      <bottom style="medium">
        <color indexed="4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49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60"/>
      </right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medium">
        <color indexed="64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1"/>
      </right>
      <top style="thin">
        <color indexed="22"/>
      </top>
      <bottom style="thin">
        <color indexed="22"/>
      </bottom>
      <diagonal/>
    </border>
    <border>
      <left style="thin">
        <color indexed="61"/>
      </left>
      <right/>
      <top style="thin">
        <color indexed="22"/>
      </top>
      <bottom/>
      <diagonal/>
    </border>
    <border>
      <left style="thin">
        <color indexed="61"/>
      </left>
      <right style="thin">
        <color indexed="61"/>
      </right>
      <top style="thin">
        <color indexed="22"/>
      </top>
      <bottom/>
      <diagonal/>
    </border>
    <border>
      <left style="thin">
        <color indexed="61"/>
      </left>
      <right/>
      <top/>
      <bottom/>
      <diagonal/>
    </border>
    <border>
      <left style="thin">
        <color indexed="61"/>
      </left>
      <right style="thin">
        <color indexed="60"/>
      </right>
      <top style="thin">
        <color indexed="22"/>
      </top>
      <bottom/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22"/>
      </top>
      <bottom style="thin">
        <color indexed="22"/>
      </bottom>
      <diagonal/>
    </border>
    <border>
      <left/>
      <right style="medium">
        <color indexed="46"/>
      </right>
      <top/>
      <bottom/>
      <diagonal/>
    </border>
    <border>
      <left style="medium">
        <color indexed="46"/>
      </left>
      <right style="medium">
        <color indexed="46"/>
      </right>
      <top/>
      <bottom/>
      <diagonal/>
    </border>
    <border>
      <left style="medium">
        <color indexed="46"/>
      </left>
      <right/>
      <top/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1"/>
      </right>
      <top style="thin">
        <color indexed="22"/>
      </top>
      <bottom style="thin">
        <color indexed="22"/>
      </bottom>
      <diagonal/>
    </border>
    <border>
      <left/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medium">
        <color indexed="50"/>
      </bottom>
      <diagonal/>
    </border>
    <border>
      <left style="medium">
        <color indexed="50"/>
      </left>
      <right style="hair">
        <color indexed="64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/>
      <top style="medium">
        <color indexed="50"/>
      </top>
      <bottom style="medium">
        <color indexed="50"/>
      </bottom>
      <diagonal/>
    </border>
    <border>
      <left/>
      <right/>
      <top style="medium">
        <color indexed="50"/>
      </top>
      <bottom style="thin">
        <color indexed="22"/>
      </bottom>
      <diagonal/>
    </border>
    <border>
      <left style="thin">
        <color indexed="49"/>
      </left>
      <right style="thin">
        <color indexed="49"/>
      </right>
      <top/>
      <bottom/>
      <diagonal/>
    </border>
    <border>
      <left style="thin">
        <color indexed="49"/>
      </left>
      <right/>
      <top/>
      <bottom/>
      <diagonal/>
    </border>
    <border>
      <left/>
      <right/>
      <top style="hair">
        <color indexed="12"/>
      </top>
      <bottom/>
      <diagonal/>
    </border>
    <border>
      <left style="thin">
        <color indexed="49"/>
      </left>
      <right style="thin">
        <color indexed="49"/>
      </right>
      <top style="thin">
        <color indexed="51"/>
      </top>
      <bottom/>
      <diagonal/>
    </border>
    <border>
      <left style="thin">
        <color indexed="49"/>
      </left>
      <right/>
      <top style="thin">
        <color indexed="51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49"/>
      </left>
      <right style="thin">
        <color indexed="49"/>
      </right>
      <top style="thin">
        <color indexed="60"/>
      </top>
      <bottom style="thin">
        <color indexed="51"/>
      </bottom>
      <diagonal/>
    </border>
    <border>
      <left style="thin">
        <color indexed="49"/>
      </left>
      <right/>
      <top style="thin">
        <color indexed="60"/>
      </top>
      <bottom style="thin">
        <color indexed="51"/>
      </bottom>
      <diagonal/>
    </border>
    <border>
      <left style="thin">
        <color indexed="49"/>
      </left>
      <right style="thin">
        <color indexed="49"/>
      </right>
      <top/>
      <bottom style="thin">
        <color indexed="60"/>
      </bottom>
      <diagonal/>
    </border>
    <border>
      <left style="thin">
        <color indexed="49"/>
      </left>
      <right/>
      <top/>
      <bottom style="thin">
        <color indexed="60"/>
      </bottom>
      <diagonal/>
    </border>
    <border>
      <left style="thin">
        <color indexed="49"/>
      </left>
      <right style="thin">
        <color indexed="49"/>
      </right>
      <top style="thin">
        <color indexed="60"/>
      </top>
      <bottom/>
      <diagonal/>
    </border>
    <border>
      <left style="thin">
        <color indexed="49"/>
      </left>
      <right style="thin">
        <color indexed="49"/>
      </right>
      <top style="thin">
        <color indexed="42"/>
      </top>
      <bottom/>
      <diagonal/>
    </border>
    <border>
      <left style="thin">
        <color indexed="49"/>
      </left>
      <right style="thin">
        <color indexed="49"/>
      </right>
      <top style="thin">
        <color indexed="51"/>
      </top>
      <bottom style="thin">
        <color indexed="60"/>
      </bottom>
      <diagonal/>
    </border>
    <border>
      <left style="thin">
        <color indexed="49"/>
      </left>
      <right style="thin">
        <color indexed="49"/>
      </right>
      <top style="thin">
        <color indexed="60"/>
      </top>
      <bottom style="thin">
        <color indexed="42"/>
      </bottom>
      <diagonal/>
    </border>
    <border>
      <left style="thin">
        <color indexed="49"/>
      </left>
      <right/>
      <top style="thin">
        <color indexed="60"/>
      </top>
      <bottom/>
      <diagonal/>
    </border>
    <border>
      <left style="thin">
        <color indexed="49"/>
      </left>
      <right style="thin">
        <color indexed="21"/>
      </right>
      <top style="thin">
        <color indexed="51"/>
      </top>
      <bottom style="thin">
        <color indexed="60"/>
      </bottom>
      <diagonal/>
    </border>
    <border>
      <left style="thin">
        <color indexed="49"/>
      </left>
      <right style="thin">
        <color indexed="21"/>
      </right>
      <top style="thin">
        <color indexed="60"/>
      </top>
      <bottom style="thin">
        <color indexed="42"/>
      </bottom>
      <diagonal/>
    </border>
    <border>
      <left style="thin">
        <color indexed="60"/>
      </left>
      <right/>
      <top style="thin">
        <color indexed="42"/>
      </top>
      <bottom style="thin">
        <color indexed="60"/>
      </bottom>
      <diagonal/>
    </border>
    <border>
      <left style="thin">
        <color indexed="49"/>
      </left>
      <right style="thin">
        <color indexed="49"/>
      </right>
      <top style="thin">
        <color indexed="42"/>
      </top>
      <bottom style="thin">
        <color indexed="60"/>
      </bottom>
      <diagonal/>
    </border>
    <border>
      <left style="thin">
        <color indexed="49"/>
      </left>
      <right/>
      <top style="thin">
        <color indexed="42"/>
      </top>
      <bottom style="thin">
        <color indexed="60"/>
      </bottom>
      <diagonal/>
    </border>
    <border>
      <left style="thin">
        <color indexed="2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0"/>
      </right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hair">
        <color indexed="60"/>
      </left>
      <right style="hair">
        <color indexed="64"/>
      </right>
      <top style="thin">
        <color indexed="60"/>
      </top>
      <bottom style="thin">
        <color indexed="60"/>
      </bottom>
      <diagonal/>
    </border>
    <border>
      <left style="hair">
        <color indexed="60"/>
      </left>
      <right style="medium">
        <color indexed="60"/>
      </right>
      <top style="thin">
        <color indexed="60"/>
      </top>
      <bottom style="thin">
        <color indexed="60"/>
      </bottom>
      <diagonal/>
    </border>
    <border>
      <left style="hair">
        <color indexed="64"/>
      </left>
      <right style="medium">
        <color indexed="60"/>
      </right>
      <top style="thin">
        <color indexed="60"/>
      </top>
      <bottom/>
      <diagonal/>
    </border>
    <border>
      <left/>
      <right/>
      <top style="thin">
        <color indexed="60"/>
      </top>
      <bottom/>
      <diagonal/>
    </border>
    <border>
      <left style="hair">
        <color indexed="60"/>
      </left>
      <right style="hair">
        <color indexed="64"/>
      </right>
      <top style="thin">
        <color indexed="60"/>
      </top>
      <bottom/>
      <diagonal/>
    </border>
    <border>
      <left style="hair">
        <color indexed="60"/>
      </left>
      <right style="medium">
        <color indexed="60"/>
      </right>
      <top style="thin">
        <color indexed="60"/>
      </top>
      <bottom/>
      <diagonal/>
    </border>
    <border>
      <left style="hair">
        <color indexed="64"/>
      </left>
      <right style="medium">
        <color indexed="60"/>
      </right>
      <top style="thin">
        <color indexed="60"/>
      </top>
      <bottom style="medium">
        <color indexed="60"/>
      </bottom>
      <diagonal/>
    </border>
    <border>
      <left style="hair">
        <color indexed="60"/>
      </left>
      <right style="hair">
        <color indexed="64"/>
      </right>
      <top style="thin">
        <color indexed="60"/>
      </top>
      <bottom style="medium">
        <color indexed="60"/>
      </bottom>
      <diagonal/>
    </border>
    <border>
      <left style="hair">
        <color indexed="60"/>
      </left>
      <right style="medium">
        <color indexed="60"/>
      </right>
      <top style="thin">
        <color indexed="60"/>
      </top>
      <bottom style="medium">
        <color indexed="6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0"/>
      </left>
      <right style="hair">
        <color indexed="60"/>
      </right>
      <top style="medium">
        <color indexed="60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0"/>
      </left>
      <right style="hair">
        <color indexed="60"/>
      </right>
      <top/>
      <bottom style="medium">
        <color indexed="6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/>
      <bottom/>
      <diagonal/>
    </border>
    <border>
      <left/>
      <right style="double">
        <color indexed="22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 style="dashDotDot">
        <color indexed="64"/>
      </left>
      <right/>
      <top/>
      <bottom/>
      <diagonal/>
    </border>
    <border>
      <left/>
      <right style="dashDotDot">
        <color indexed="64"/>
      </right>
      <top/>
      <bottom/>
      <diagonal/>
    </border>
    <border>
      <left style="thin">
        <color indexed="18"/>
      </left>
      <right style="thick">
        <color indexed="56"/>
      </right>
      <top style="medium">
        <color indexed="18"/>
      </top>
      <bottom/>
      <diagonal/>
    </border>
    <border>
      <left style="thick">
        <color indexed="56"/>
      </left>
      <right style="medium">
        <color indexed="18"/>
      </right>
      <top style="medium">
        <color indexed="18"/>
      </top>
      <bottom/>
      <diagonal/>
    </border>
    <border>
      <left style="thin">
        <color indexed="18"/>
      </left>
      <right style="thick">
        <color indexed="56"/>
      </right>
      <top style="medium">
        <color indexed="18"/>
      </top>
      <bottom style="hair">
        <color indexed="64"/>
      </bottom>
      <diagonal/>
    </border>
    <border>
      <left style="thick">
        <color indexed="56"/>
      </left>
      <right style="medium">
        <color indexed="18"/>
      </right>
      <top style="medium">
        <color indexed="18"/>
      </top>
      <bottom style="hair">
        <color indexed="64"/>
      </bottom>
      <diagonal/>
    </border>
    <border>
      <left/>
      <right style="thick">
        <color indexed="56"/>
      </right>
      <top style="medium">
        <color indexed="18"/>
      </top>
      <bottom style="hair">
        <color indexed="64"/>
      </bottom>
      <diagonal/>
    </border>
    <border>
      <left style="thin">
        <color indexed="18"/>
      </left>
      <right/>
      <top/>
      <bottom style="hair">
        <color indexed="18"/>
      </bottom>
      <diagonal/>
    </border>
    <border>
      <left/>
      <right style="medium">
        <color indexed="18"/>
      </right>
      <top/>
      <bottom style="hair">
        <color indexed="18"/>
      </bottom>
      <diagonal/>
    </border>
    <border>
      <left style="thin">
        <color indexed="18"/>
      </left>
      <right/>
      <top style="hair">
        <color indexed="64"/>
      </top>
      <bottom style="hair">
        <color indexed="18"/>
      </bottom>
      <diagonal/>
    </border>
    <border>
      <left style="thin">
        <color indexed="18"/>
      </left>
      <right/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 style="thin">
        <color indexed="18"/>
      </left>
      <right/>
      <top style="hair">
        <color indexed="18"/>
      </top>
      <bottom style="thin">
        <color indexed="18"/>
      </bottom>
      <diagonal/>
    </border>
    <border>
      <left/>
      <right style="medium">
        <color indexed="18"/>
      </right>
      <top style="hair">
        <color indexed="18"/>
      </top>
      <bottom style="thin">
        <color indexed="18"/>
      </bottom>
      <diagonal/>
    </border>
    <border>
      <left style="thin">
        <color indexed="18"/>
      </left>
      <right/>
      <top style="thin">
        <color indexed="18"/>
      </top>
      <bottom style="hair">
        <color indexed="18"/>
      </bottom>
      <diagonal/>
    </border>
    <border>
      <left/>
      <right style="medium">
        <color indexed="18"/>
      </right>
      <top style="thin">
        <color indexed="18"/>
      </top>
      <bottom style="hair">
        <color indexed="18"/>
      </bottom>
      <diagonal/>
    </border>
    <border>
      <left/>
      <right style="thin">
        <color indexed="18"/>
      </right>
      <top style="hair">
        <color indexed="18"/>
      </top>
      <bottom style="hair">
        <color indexed="18"/>
      </bottom>
      <diagonal/>
    </border>
    <border>
      <left style="thin">
        <color indexed="18"/>
      </left>
      <right/>
      <top style="hair">
        <color indexed="18"/>
      </top>
      <bottom style="hair">
        <color indexed="64"/>
      </bottom>
      <diagonal/>
    </border>
    <border>
      <left style="thin">
        <color indexed="18"/>
      </left>
      <right/>
      <top style="hair">
        <color indexed="64"/>
      </top>
      <bottom style="medium">
        <color indexed="18"/>
      </bottom>
      <diagonal/>
    </border>
    <border>
      <left/>
      <right style="medium">
        <color indexed="18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1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9"/>
      </left>
      <right style="thin">
        <color indexed="64"/>
      </right>
      <top style="double">
        <color indexed="9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double">
        <color indexed="9"/>
      </top>
      <bottom style="thin">
        <color indexed="23"/>
      </bottom>
      <diagonal/>
    </border>
    <border>
      <left style="thin">
        <color indexed="64"/>
      </left>
      <right style="double">
        <color indexed="64"/>
      </right>
      <top style="double">
        <color indexed="9"/>
      </top>
      <bottom style="thin">
        <color indexed="23"/>
      </bottom>
      <diagonal/>
    </border>
    <border>
      <left style="double">
        <color indexed="9"/>
      </left>
      <right style="thin">
        <color indexed="64"/>
      </right>
      <top style="thin">
        <color indexed="23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23"/>
      </top>
      <bottom style="double">
        <color indexed="64"/>
      </bottom>
      <diagonal/>
    </border>
    <border>
      <left style="double">
        <color indexed="9"/>
      </left>
      <right style="thin">
        <color indexed="64"/>
      </right>
      <top style="double">
        <color indexed="9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9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9"/>
      </top>
      <bottom style="thin">
        <color indexed="55"/>
      </bottom>
      <diagonal/>
    </border>
    <border>
      <left style="double">
        <color indexed="9"/>
      </left>
      <right style="thin">
        <color indexed="64"/>
      </right>
      <top style="thin">
        <color indexed="55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4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41"/>
      </left>
      <right/>
      <top style="double">
        <color indexed="41"/>
      </top>
      <bottom style="double">
        <color indexed="55"/>
      </bottom>
      <diagonal/>
    </border>
    <border>
      <left/>
      <right style="double">
        <color indexed="55"/>
      </right>
      <top style="double">
        <color indexed="41"/>
      </top>
      <bottom style="double">
        <color indexed="55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medium">
        <color indexed="12"/>
      </left>
      <right style="hair">
        <color indexed="64"/>
      </right>
      <top style="medium">
        <color indexed="64"/>
      </top>
      <bottom/>
      <diagonal/>
    </border>
    <border>
      <left style="medium">
        <color indexed="12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12"/>
      </left>
      <right style="thin">
        <color indexed="60"/>
      </right>
      <top/>
      <bottom/>
      <diagonal/>
    </border>
    <border>
      <left style="medium">
        <color indexed="12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thin">
        <color indexed="60"/>
      </right>
      <top/>
      <bottom/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 style="thin">
        <color indexed="21"/>
      </left>
      <right style="hair">
        <color indexed="64"/>
      </right>
      <top/>
      <bottom/>
      <diagonal/>
    </border>
    <border>
      <left style="thin">
        <color indexed="21"/>
      </left>
      <right style="hair">
        <color indexed="64"/>
      </right>
      <top/>
      <bottom style="hair">
        <color indexed="64"/>
      </bottom>
      <diagonal/>
    </border>
    <border>
      <left style="medium">
        <color indexed="12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2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0"/>
      </right>
      <top style="medium">
        <color indexed="60"/>
      </top>
      <bottom/>
      <diagonal/>
    </border>
    <border>
      <left style="hair">
        <color indexed="64"/>
      </left>
      <right style="medium">
        <color indexed="60"/>
      </right>
      <top/>
      <bottom style="medium">
        <color indexed="60"/>
      </bottom>
      <diagonal/>
    </border>
    <border>
      <left style="hair">
        <color indexed="60"/>
      </left>
      <right style="hair">
        <color indexed="64"/>
      </right>
      <top style="medium">
        <color indexed="60"/>
      </top>
      <bottom/>
      <diagonal/>
    </border>
    <border>
      <left style="hair">
        <color indexed="60"/>
      </left>
      <right style="hair">
        <color indexed="64"/>
      </right>
      <top/>
      <bottom style="medium">
        <color indexed="60"/>
      </bottom>
      <diagonal/>
    </border>
    <border>
      <left style="hair">
        <color indexed="64"/>
      </left>
      <right style="hair">
        <color indexed="64"/>
      </right>
      <top style="medium">
        <color indexed="60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0"/>
      </bottom>
      <diagonal/>
    </border>
    <border>
      <left/>
      <right/>
      <top style="medium">
        <color indexed="60"/>
      </top>
      <bottom/>
      <diagonal/>
    </border>
    <border>
      <left style="medium">
        <color indexed="18"/>
      </left>
      <right/>
      <top style="medium">
        <color indexed="18"/>
      </top>
      <bottom/>
      <diagonal/>
    </border>
    <border>
      <left/>
      <right/>
      <top style="medium">
        <color indexed="18"/>
      </top>
      <bottom/>
      <diagonal/>
    </border>
    <border>
      <left style="medium">
        <color indexed="18"/>
      </left>
      <right/>
      <top style="medium">
        <color indexed="18"/>
      </top>
      <bottom style="hair">
        <color indexed="64"/>
      </bottom>
      <diagonal/>
    </border>
    <border>
      <left/>
      <right/>
      <top style="medium">
        <color indexed="18"/>
      </top>
      <bottom style="hair">
        <color indexed="64"/>
      </bottom>
      <diagonal/>
    </border>
    <border>
      <left/>
      <right style="thin">
        <color indexed="18"/>
      </right>
      <top style="medium">
        <color indexed="18"/>
      </top>
      <bottom style="hair">
        <color indexed="64"/>
      </bottom>
      <diagonal/>
    </border>
    <border>
      <left style="medium">
        <color indexed="18"/>
      </left>
      <right/>
      <top/>
      <bottom style="hair">
        <color indexed="18"/>
      </bottom>
      <diagonal/>
    </border>
    <border>
      <left/>
      <right/>
      <top/>
      <bottom style="hair">
        <color indexed="18"/>
      </bottom>
      <diagonal/>
    </border>
    <border>
      <left style="medium">
        <color indexed="18"/>
      </left>
      <right/>
      <top style="hair">
        <color indexed="18"/>
      </top>
      <bottom style="thin">
        <color indexed="18"/>
      </bottom>
      <diagonal/>
    </border>
    <border>
      <left/>
      <right/>
      <top style="hair">
        <color indexed="18"/>
      </top>
      <bottom style="thin">
        <color indexed="18"/>
      </bottom>
      <diagonal/>
    </border>
    <border>
      <left style="medium">
        <color indexed="18"/>
      </left>
      <right/>
      <top style="thin">
        <color indexed="18"/>
      </top>
      <bottom style="hair">
        <color indexed="18"/>
      </bottom>
      <diagonal/>
    </border>
    <border>
      <left/>
      <right/>
      <top style="thin">
        <color indexed="18"/>
      </top>
      <bottom style="hair">
        <color indexed="18"/>
      </bottom>
      <diagonal/>
    </border>
    <border>
      <left/>
      <right style="thin">
        <color indexed="18"/>
      </right>
      <top style="thin">
        <color indexed="18"/>
      </top>
      <bottom style="hair">
        <color indexed="18"/>
      </bottom>
      <diagonal/>
    </border>
    <border>
      <left style="medium">
        <color indexed="18"/>
      </left>
      <right/>
      <top style="hair">
        <color indexed="18"/>
      </top>
      <bottom style="thin">
        <color indexed="22"/>
      </bottom>
      <diagonal/>
    </border>
    <border>
      <left/>
      <right/>
      <top style="hair">
        <color indexed="18"/>
      </top>
      <bottom style="thin">
        <color indexed="22"/>
      </bottom>
      <diagonal/>
    </border>
    <border>
      <left/>
      <right style="thin">
        <color indexed="18"/>
      </right>
      <top style="hair">
        <color indexed="18"/>
      </top>
      <bottom style="thin">
        <color indexed="22"/>
      </bottom>
      <diagonal/>
    </border>
    <border>
      <left style="medium">
        <color indexed="18"/>
      </left>
      <right/>
      <top style="hair">
        <color indexed="64"/>
      </top>
      <bottom style="medium">
        <color indexed="18"/>
      </bottom>
      <diagonal/>
    </border>
    <border>
      <left/>
      <right style="thin">
        <color indexed="18"/>
      </right>
      <top style="hair">
        <color indexed="64"/>
      </top>
      <bottom style="medium">
        <color indexed="1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medium">
        <color indexed="64"/>
      </right>
      <top style="thin">
        <color indexed="22"/>
      </top>
      <bottom/>
      <diagonal/>
    </border>
  </borders>
  <cellStyleXfs count="9">
    <xf numFmtId="0" fontId="0" fillId="0" borderId="0">
      <alignment vertical="center"/>
    </xf>
    <xf numFmtId="0" fontId="74" fillId="0" borderId="0" applyNumberFormat="0" applyFill="0" applyBorder="0" applyAlignment="0" applyProtection="0">
      <alignment vertical="top"/>
      <protection locked="0"/>
    </xf>
    <xf numFmtId="178" fontId="2" fillId="0" borderId="0" applyFont="0" applyFill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/>
    <xf numFmtId="0" fontId="88" fillId="0" borderId="0"/>
  </cellStyleXfs>
  <cellXfs count="83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 applyProtection="1">
      <alignment vertical="center"/>
      <protection locked="0"/>
    </xf>
    <xf numFmtId="179" fontId="4" fillId="2" borderId="0" xfId="0" applyNumberFormat="1" applyFont="1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  <protection locked="0"/>
    </xf>
    <xf numFmtId="0" fontId="6" fillId="2" borderId="0" xfId="0" applyFont="1" applyFill="1" applyAlignment="1" applyProtection="1">
      <alignment horizontal="centerContinuous" vertical="center"/>
      <protection locked="0"/>
    </xf>
    <xf numFmtId="0" fontId="7" fillId="2" borderId="0" xfId="0" applyFont="1" applyFill="1" applyAlignment="1" applyProtection="1">
      <alignment horizontal="centerContinuous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49" fontId="8" fillId="3" borderId="0" xfId="0" applyNumberFormat="1" applyFont="1" applyFill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2" fillId="2" borderId="4" xfId="0" applyFont="1" applyFill="1" applyBorder="1" applyAlignment="1" applyProtection="1">
      <alignment horizontal="center" vertical="center" wrapText="1"/>
      <protection locked="0"/>
    </xf>
    <xf numFmtId="0" fontId="12" fillId="2" borderId="5" xfId="0" applyFont="1" applyFill="1" applyBorder="1" applyAlignment="1" applyProtection="1">
      <alignment horizontal="center" vertical="center" wrapText="1"/>
      <protection locked="0"/>
    </xf>
    <xf numFmtId="0" fontId="12" fillId="2" borderId="6" xfId="0" applyFont="1" applyFill="1" applyBorder="1" applyAlignment="1" applyProtection="1">
      <alignment horizontal="center" vertical="center" wrapText="1"/>
      <protection locked="0"/>
    </xf>
    <xf numFmtId="0" fontId="13" fillId="2" borderId="6" xfId="0" applyFont="1" applyFill="1" applyBorder="1" applyAlignment="1" applyProtection="1">
      <alignment horizontal="center" vertical="center" wrapText="1"/>
      <protection locked="0"/>
    </xf>
    <xf numFmtId="10" fontId="12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7" xfId="0" applyFont="1" applyFill="1" applyBorder="1" applyAlignment="1" applyProtection="1">
      <alignment horizontal="center" vertical="center" wrapText="1"/>
      <protection locked="0"/>
    </xf>
    <xf numFmtId="0" fontId="12" fillId="2" borderId="8" xfId="0" applyFont="1" applyFill="1" applyBorder="1" applyAlignment="1" applyProtection="1">
      <alignment horizontal="center" vertical="center" wrapText="1"/>
      <protection locked="0"/>
    </xf>
    <xf numFmtId="0" fontId="12" fillId="2" borderId="9" xfId="0" applyFont="1" applyFill="1" applyBorder="1" applyAlignment="1" applyProtection="1">
      <alignment horizontal="center" vertical="center" wrapText="1"/>
      <protection locked="0"/>
    </xf>
    <xf numFmtId="0" fontId="12" fillId="2" borderId="10" xfId="0" applyFont="1" applyFill="1" applyBorder="1" applyAlignment="1" applyProtection="1">
      <alignment horizontal="center" vertical="center" wrapText="1"/>
      <protection locked="0"/>
    </xf>
    <xf numFmtId="0" fontId="15" fillId="5" borderId="11" xfId="0" applyFont="1" applyFill="1" applyBorder="1" applyAlignment="1" applyProtection="1">
      <alignment horizontal="center" vertical="center" wrapText="1"/>
      <protection locked="0"/>
    </xf>
    <xf numFmtId="0" fontId="15" fillId="5" borderId="1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5" borderId="14" xfId="0" applyFont="1" applyFill="1" applyBorder="1" applyAlignment="1" applyProtection="1">
      <alignment horizontal="center" vertical="center" wrapText="1"/>
      <protection hidden="1"/>
    </xf>
    <xf numFmtId="0" fontId="16" fillId="2" borderId="0" xfId="0" applyFont="1" applyFill="1" applyAlignment="1" applyProtection="1">
      <alignment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49" fontId="17" fillId="2" borderId="15" xfId="0" applyNumberFormat="1" applyFont="1" applyFill="1" applyBorder="1" applyAlignment="1" applyProtection="1">
      <alignment vertical="center"/>
      <protection locked="0"/>
    </xf>
    <xf numFmtId="49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17" fillId="0" borderId="17" xfId="0" applyFont="1" applyFill="1" applyBorder="1" applyAlignment="1" applyProtection="1">
      <alignment horizontal="center" vertical="center"/>
      <protection locked="0"/>
    </xf>
    <xf numFmtId="180" fontId="17" fillId="0" borderId="17" xfId="0" applyNumberFormat="1" applyFont="1" applyFill="1" applyBorder="1" applyAlignment="1" applyProtection="1">
      <alignment horizontal="center" vertical="center"/>
      <protection locked="0"/>
    </xf>
    <xf numFmtId="181" fontId="17" fillId="6" borderId="17" xfId="0" applyNumberFormat="1" applyFont="1" applyFill="1" applyBorder="1" applyAlignment="1" applyProtection="1">
      <alignment horizontal="right" vertical="center"/>
      <protection hidden="1"/>
    </xf>
    <xf numFmtId="180" fontId="17" fillId="0" borderId="17" xfId="0" applyNumberFormat="1" applyFont="1" applyFill="1" applyBorder="1" applyAlignment="1" applyProtection="1">
      <alignment horizontal="center" vertical="center"/>
      <protection hidden="1"/>
    </xf>
    <xf numFmtId="180" fontId="17" fillId="0" borderId="18" xfId="0" applyNumberFormat="1" applyFont="1" applyFill="1" applyBorder="1" applyAlignment="1" applyProtection="1">
      <alignment horizontal="center" vertical="center"/>
      <protection hidden="1"/>
    </xf>
    <xf numFmtId="180" fontId="17" fillId="0" borderId="19" xfId="0" applyNumberFormat="1" applyFont="1" applyFill="1" applyBorder="1" applyAlignment="1" applyProtection="1">
      <alignment horizontal="center" vertical="center"/>
      <protection locked="0"/>
    </xf>
    <xf numFmtId="49" fontId="17" fillId="0" borderId="12" xfId="0" applyNumberFormat="1" applyFont="1" applyFill="1" applyBorder="1" applyAlignment="1" applyProtection="1">
      <alignment horizontal="center" vertical="center"/>
      <protection locked="0"/>
    </xf>
    <xf numFmtId="180" fontId="17" fillId="0" borderId="20" xfId="0" applyNumberFormat="1" applyFont="1" applyFill="1" applyBorder="1" applyAlignment="1" applyProtection="1">
      <alignment horizontal="center" vertical="center"/>
      <protection locked="0"/>
    </xf>
    <xf numFmtId="180" fontId="17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6" borderId="22" xfId="0" applyNumberFormat="1" applyFont="1" applyFill="1" applyBorder="1" applyAlignment="1" applyProtection="1">
      <alignment horizontal="center" vertical="center"/>
      <protection locked="0"/>
    </xf>
    <xf numFmtId="180" fontId="17" fillId="0" borderId="23" xfId="0" applyNumberFormat="1" applyFont="1" applyFill="1" applyBorder="1" applyAlignment="1" applyProtection="1">
      <alignment horizontal="center" vertical="center"/>
      <protection hidden="1"/>
    </xf>
    <xf numFmtId="180" fontId="17" fillId="0" borderId="24" xfId="0" applyNumberFormat="1" applyFont="1" applyFill="1" applyBorder="1" applyAlignment="1" applyProtection="1">
      <alignment horizontal="center" vertical="center"/>
      <protection hidden="1"/>
    </xf>
    <xf numFmtId="182" fontId="17" fillId="0" borderId="24" xfId="0" applyNumberFormat="1" applyFont="1" applyFill="1" applyBorder="1" applyAlignment="1" applyProtection="1">
      <alignment horizontal="center" vertical="center"/>
      <protection hidden="1"/>
    </xf>
    <xf numFmtId="180" fontId="17" fillId="0" borderId="23" xfId="0" applyNumberFormat="1" applyFont="1" applyFill="1" applyBorder="1" applyAlignment="1" applyProtection="1">
      <alignment horizontal="right" vertical="center"/>
      <protection hidden="1"/>
    </xf>
    <xf numFmtId="180" fontId="17" fillId="2" borderId="25" xfId="0" applyNumberFormat="1" applyFont="1" applyFill="1" applyBorder="1" applyAlignment="1" applyProtection="1">
      <alignment horizontal="center" vertical="center"/>
      <protection locked="0"/>
    </xf>
    <xf numFmtId="0" fontId="19" fillId="0" borderId="23" xfId="0" applyNumberFormat="1" applyFont="1" applyFill="1" applyBorder="1" applyAlignment="1" applyProtection="1">
      <alignment horizontal="center" vertical="center"/>
      <protection locked="0"/>
    </xf>
    <xf numFmtId="180" fontId="17" fillId="0" borderId="23" xfId="0" applyNumberFormat="1" applyFont="1" applyFill="1" applyBorder="1" applyAlignment="1" applyProtection="1">
      <alignment horizontal="center" vertical="center"/>
      <protection locked="0"/>
    </xf>
    <xf numFmtId="180" fontId="17" fillId="0" borderId="26" xfId="0" applyNumberFormat="1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vertical="center"/>
      <protection locked="0"/>
    </xf>
    <xf numFmtId="49" fontId="17" fillId="2" borderId="27" xfId="0" applyNumberFormat="1" applyFont="1" applyFill="1" applyBorder="1" applyAlignment="1" applyProtection="1">
      <alignment vertical="center"/>
      <protection locked="0"/>
    </xf>
    <xf numFmtId="49" fontId="18" fillId="0" borderId="28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180" fontId="17" fillId="0" borderId="1" xfId="0" applyNumberFormat="1" applyFont="1" applyFill="1" applyBorder="1" applyAlignment="1" applyProtection="1">
      <alignment horizontal="center" vertical="center"/>
      <protection locked="0"/>
    </xf>
    <xf numFmtId="182" fontId="17" fillId="0" borderId="1" xfId="0" applyNumberFormat="1" applyFont="1" applyFill="1" applyBorder="1" applyAlignment="1" applyProtection="1">
      <alignment horizontal="center" vertical="center"/>
      <protection hidden="1"/>
    </xf>
    <xf numFmtId="178" fontId="17" fillId="0" borderId="1" xfId="0" applyNumberFormat="1" applyFont="1" applyFill="1" applyBorder="1" applyAlignment="1" applyProtection="1">
      <alignment horizontal="center" vertical="center"/>
      <protection locked="0"/>
    </xf>
    <xf numFmtId="181" fontId="17" fillId="0" borderId="1" xfId="0" applyNumberFormat="1" applyFont="1" applyFill="1" applyBorder="1" applyAlignment="1" applyProtection="1">
      <alignment horizontal="right" vertical="center"/>
      <protection hidden="1"/>
    </xf>
    <xf numFmtId="180" fontId="17" fillId="0" borderId="1" xfId="0" applyNumberFormat="1" applyFont="1" applyFill="1" applyBorder="1" applyAlignment="1" applyProtection="1">
      <alignment horizontal="center" vertical="center"/>
      <protection hidden="1"/>
    </xf>
    <xf numFmtId="49" fontId="17" fillId="0" borderId="29" xfId="0" applyNumberFormat="1" applyFont="1" applyFill="1" applyBorder="1" applyAlignment="1" applyProtection="1">
      <alignment horizontal="center" vertical="center"/>
      <protection locked="0"/>
    </xf>
    <xf numFmtId="180" fontId="17" fillId="0" borderId="30" xfId="0" applyNumberFormat="1" applyFont="1" applyFill="1" applyBorder="1" applyAlignment="1" applyProtection="1">
      <alignment horizontal="center" vertical="center"/>
      <protection locked="0"/>
    </xf>
    <xf numFmtId="180" fontId="17" fillId="0" borderId="25" xfId="0" applyNumberFormat="1" applyFont="1" applyFill="1" applyBorder="1" applyAlignment="1" applyProtection="1">
      <alignment horizontal="center" vertical="center"/>
      <protection hidden="1"/>
    </xf>
    <xf numFmtId="180" fontId="17" fillId="0" borderId="31" xfId="0" applyNumberFormat="1" applyFont="1" applyFill="1" applyBorder="1" applyAlignment="1" applyProtection="1">
      <alignment horizontal="center" vertical="center"/>
      <protection hidden="1"/>
    </xf>
    <xf numFmtId="182" fontId="17" fillId="0" borderId="31" xfId="0" applyNumberFormat="1" applyFont="1" applyFill="1" applyBorder="1" applyAlignment="1" applyProtection="1">
      <alignment horizontal="center" vertical="center"/>
      <protection hidden="1"/>
    </xf>
    <xf numFmtId="180" fontId="17" fillId="0" borderId="31" xfId="0" applyNumberFormat="1" applyFont="1" applyFill="1" applyBorder="1" applyAlignment="1" applyProtection="1">
      <alignment horizontal="right" vertical="center"/>
      <protection hidden="1"/>
    </xf>
    <xf numFmtId="0" fontId="19" fillId="0" borderId="25" xfId="0" applyNumberFormat="1" applyFont="1" applyFill="1" applyBorder="1" applyAlignment="1" applyProtection="1">
      <alignment horizontal="center" vertical="center"/>
      <protection locked="0"/>
    </xf>
    <xf numFmtId="180" fontId="17" fillId="0" borderId="25" xfId="0" applyNumberFormat="1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left" vertical="center"/>
      <protection locked="0"/>
    </xf>
    <xf numFmtId="180" fontId="21" fillId="0" borderId="1" xfId="0" applyNumberFormat="1" applyFont="1" applyFill="1" applyBorder="1" applyAlignment="1" applyProtection="1">
      <alignment horizontal="center" vertical="center"/>
      <protection hidden="1"/>
    </xf>
    <xf numFmtId="0" fontId="20" fillId="0" borderId="1" xfId="0" applyFont="1" applyFill="1" applyBorder="1" applyAlignment="1" applyProtection="1">
      <alignment horizontal="center" vertical="center"/>
      <protection hidden="1"/>
    </xf>
    <xf numFmtId="49" fontId="17" fillId="2" borderId="32" xfId="0" applyNumberFormat="1" applyFont="1" applyFill="1" applyBorder="1" applyAlignment="1" applyProtection="1">
      <alignment vertical="center"/>
      <protection locked="0"/>
    </xf>
    <xf numFmtId="180" fontId="17" fillId="3" borderId="33" xfId="0" applyNumberFormat="1" applyFont="1" applyFill="1" applyBorder="1" applyAlignment="1" applyProtection="1">
      <alignment horizontal="center" vertical="center"/>
      <protection hidden="1"/>
    </xf>
    <xf numFmtId="3" fontId="17" fillId="3" borderId="33" xfId="0" applyNumberFormat="1" applyFont="1" applyFill="1" applyBorder="1" applyAlignment="1" applyProtection="1">
      <alignment horizontal="center" vertical="center"/>
      <protection hidden="1"/>
    </xf>
    <xf numFmtId="180" fontId="17" fillId="3" borderId="34" xfId="0" applyNumberFormat="1" applyFont="1" applyFill="1" applyBorder="1" applyAlignment="1" applyProtection="1">
      <alignment horizontal="center" vertical="center"/>
      <protection hidden="1"/>
    </xf>
    <xf numFmtId="180" fontId="17" fillId="3" borderId="35" xfId="0" applyNumberFormat="1" applyFont="1" applyFill="1" applyBorder="1" applyAlignment="1" applyProtection="1">
      <alignment horizontal="center" vertical="center"/>
      <protection hidden="1"/>
    </xf>
    <xf numFmtId="180" fontId="17" fillId="3" borderId="36" xfId="0" applyNumberFormat="1" applyFont="1" applyFill="1" applyBorder="1" applyAlignment="1" applyProtection="1">
      <alignment horizontal="center" vertical="center"/>
      <protection hidden="1"/>
    </xf>
    <xf numFmtId="180" fontId="17" fillId="3" borderId="21" xfId="0" applyNumberFormat="1" applyFont="1" applyFill="1" applyBorder="1" applyAlignment="1" applyProtection="1">
      <alignment horizontal="center" vertical="center"/>
      <protection hidden="1"/>
    </xf>
    <xf numFmtId="180" fontId="17" fillId="6" borderId="22" xfId="0" applyNumberFormat="1" applyFont="1" applyFill="1" applyBorder="1" applyAlignment="1" applyProtection="1">
      <alignment horizontal="center" vertical="center"/>
      <protection hidden="1"/>
    </xf>
    <xf numFmtId="180" fontId="17" fillId="3" borderId="37" xfId="0" applyNumberFormat="1" applyFont="1" applyFill="1" applyBorder="1" applyAlignment="1" applyProtection="1">
      <alignment horizontal="center" vertical="center"/>
      <protection hidden="1"/>
    </xf>
    <xf numFmtId="180" fontId="22" fillId="3" borderId="37" xfId="0" applyNumberFormat="1" applyFont="1" applyFill="1" applyBorder="1" applyAlignment="1" applyProtection="1">
      <alignment horizontal="right" vertical="center"/>
      <protection hidden="1"/>
    </xf>
    <xf numFmtId="180" fontId="17" fillId="2" borderId="31" xfId="0" applyNumberFormat="1" applyFont="1" applyFill="1" applyBorder="1" applyAlignment="1" applyProtection="1">
      <alignment horizontal="center" vertical="center"/>
      <protection locked="0"/>
    </xf>
    <xf numFmtId="180" fontId="17" fillId="3" borderId="37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3" fillId="2" borderId="0" xfId="0" applyFont="1" applyFill="1">
      <alignment vertical="center"/>
    </xf>
    <xf numFmtId="0" fontId="19" fillId="2" borderId="0" xfId="0" applyNumberFormat="1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24" fillId="2" borderId="0" xfId="0" applyFont="1" applyFill="1" applyAlignment="1" applyProtection="1">
      <alignment horizontal="left"/>
    </xf>
    <xf numFmtId="0" fontId="0" fillId="2" borderId="0" xfId="0" applyFill="1" applyAlignment="1" applyProtection="1">
      <alignment horizontal="center"/>
    </xf>
    <xf numFmtId="40" fontId="25" fillId="2" borderId="0" xfId="0" applyNumberFormat="1" applyFont="1" applyFill="1" applyBorder="1" applyAlignment="1" applyProtection="1">
      <alignment horizontal="right" vertical="center"/>
      <protection locked="0"/>
    </xf>
    <xf numFmtId="0" fontId="26" fillId="3" borderId="38" xfId="0" applyFont="1" applyFill="1" applyBorder="1" applyAlignment="1" applyProtection="1">
      <alignment horizontal="center" vertical="center"/>
    </xf>
    <xf numFmtId="0" fontId="26" fillId="3" borderId="39" xfId="0" applyFont="1" applyFill="1" applyBorder="1" applyAlignment="1" applyProtection="1">
      <alignment horizontal="center" vertical="center"/>
    </xf>
    <xf numFmtId="0" fontId="26" fillId="3" borderId="40" xfId="0" applyFont="1" applyFill="1" applyBorder="1" applyAlignment="1" applyProtection="1">
      <alignment horizontal="center" vertical="center"/>
    </xf>
    <xf numFmtId="0" fontId="26" fillId="2" borderId="0" xfId="0" applyFont="1" applyFill="1" applyAlignment="1" applyProtection="1">
      <alignment horizontal="center"/>
    </xf>
    <xf numFmtId="180" fontId="26" fillId="4" borderId="2" xfId="0" applyNumberFormat="1" applyFont="1" applyFill="1" applyBorder="1" applyAlignment="1" applyProtection="1">
      <alignment horizontal="center" vertical="center"/>
    </xf>
    <xf numFmtId="180" fontId="26" fillId="4" borderId="41" xfId="0" applyNumberFormat="1" applyFont="1" applyFill="1" applyBorder="1" applyAlignment="1" applyProtection="1">
      <alignment horizontal="center" vertical="center"/>
    </xf>
    <xf numFmtId="180" fontId="26" fillId="4" borderId="3" xfId="0" applyNumberFormat="1" applyFont="1" applyFill="1" applyBorder="1" applyAlignment="1" applyProtection="1">
      <alignment horizontal="center" vertical="center"/>
    </xf>
    <xf numFmtId="180" fontId="27" fillId="7" borderId="42" xfId="0" applyNumberFormat="1" applyFont="1" applyFill="1" applyBorder="1" applyAlignment="1" applyProtection="1">
      <alignment horizontal="right" vertical="center"/>
    </xf>
    <xf numFmtId="180" fontId="27" fillId="7" borderId="43" xfId="0" applyNumberFormat="1" applyFont="1" applyFill="1" applyBorder="1" applyAlignment="1" applyProtection="1">
      <alignment horizontal="right" vertical="center"/>
    </xf>
    <xf numFmtId="180" fontId="27" fillId="7" borderId="44" xfId="0" applyNumberFormat="1" applyFont="1" applyFill="1" applyBorder="1" applyAlignment="1" applyProtection="1">
      <alignment horizontal="right" vertical="center"/>
    </xf>
    <xf numFmtId="0" fontId="26" fillId="3" borderId="45" xfId="0" applyFont="1" applyFill="1" applyBorder="1" applyAlignment="1" applyProtection="1">
      <alignment horizontal="center" vertical="center"/>
    </xf>
    <xf numFmtId="0" fontId="26" fillId="3" borderId="46" xfId="0" applyFont="1" applyFill="1" applyBorder="1" applyAlignment="1" applyProtection="1">
      <alignment horizontal="center" vertical="center"/>
    </xf>
    <xf numFmtId="0" fontId="26" fillId="3" borderId="47" xfId="0" applyFont="1" applyFill="1" applyBorder="1" applyAlignment="1" applyProtection="1">
      <alignment horizontal="center" vertical="center"/>
    </xf>
    <xf numFmtId="180" fontId="27" fillId="7" borderId="48" xfId="0" applyNumberFormat="1" applyFont="1" applyFill="1" applyBorder="1" applyAlignment="1" applyProtection="1">
      <alignment horizontal="right" vertical="center"/>
    </xf>
    <xf numFmtId="40" fontId="28" fillId="6" borderId="49" xfId="0" applyNumberFormat="1" applyFont="1" applyFill="1" applyBorder="1" applyAlignment="1" applyProtection="1">
      <alignment vertical="center"/>
    </xf>
    <xf numFmtId="40" fontId="29" fillId="6" borderId="50" xfId="0" applyNumberFormat="1" applyFont="1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/>
      <protection locked="0"/>
    </xf>
    <xf numFmtId="180" fontId="30" fillId="7" borderId="51" xfId="0" applyNumberFormat="1" applyFont="1" applyFill="1" applyBorder="1" applyAlignment="1" applyProtection="1">
      <alignment horizontal="right" vertical="center"/>
    </xf>
    <xf numFmtId="40" fontId="11" fillId="2" borderId="0" xfId="0" applyNumberFormat="1" applyFont="1" applyFill="1" applyProtection="1">
      <alignment vertical="center"/>
    </xf>
    <xf numFmtId="0" fontId="10" fillId="2" borderId="0" xfId="0" applyFont="1" applyFill="1" applyAlignment="1" applyProtection="1">
      <alignment horizontal="center"/>
    </xf>
    <xf numFmtId="180" fontId="30" fillId="8" borderId="43" xfId="0" applyNumberFormat="1" applyFont="1" applyFill="1" applyBorder="1" applyAlignment="1" applyProtection="1">
      <alignment horizontal="right"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>
      <alignment vertical="center"/>
    </xf>
    <xf numFmtId="0" fontId="5" fillId="2" borderId="0" xfId="0" applyFont="1" applyFill="1" applyAlignment="1">
      <alignment horizontal="centerContinuous" vertical="center"/>
    </xf>
    <xf numFmtId="0" fontId="10" fillId="2" borderId="0" xfId="0" applyFont="1" applyFill="1" applyAlignment="1">
      <alignment horizontal="centerContinuous" vertical="center"/>
    </xf>
    <xf numFmtId="0" fontId="4" fillId="2" borderId="0" xfId="0" applyFont="1" applyFill="1" applyAlignment="1">
      <alignment horizontal="centerContinuous" vertical="center"/>
    </xf>
    <xf numFmtId="177" fontId="10" fillId="0" borderId="0" xfId="0" applyNumberFormat="1" applyFont="1" applyFill="1" applyAlignment="1">
      <alignment horizontal="left" vertical="center"/>
    </xf>
    <xf numFmtId="0" fontId="32" fillId="2" borderId="0" xfId="0" applyFont="1" applyFill="1">
      <alignment vertical="center"/>
    </xf>
    <xf numFmtId="0" fontId="33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34" fillId="9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left" vertical="center"/>
    </xf>
    <xf numFmtId="183" fontId="32" fillId="2" borderId="0" xfId="0" applyNumberFormat="1" applyFont="1" applyFill="1" applyBorder="1" applyAlignment="1" applyProtection="1">
      <alignment horizontal="left" vertical="center"/>
      <protection hidden="1"/>
    </xf>
    <xf numFmtId="0" fontId="33" fillId="2" borderId="0" xfId="0" applyFont="1" applyFill="1" applyAlignment="1">
      <alignment horizontal="center" vertical="center"/>
    </xf>
    <xf numFmtId="184" fontId="37" fillId="4" borderId="2" xfId="0" applyNumberFormat="1" applyFont="1" applyFill="1" applyBorder="1" applyAlignment="1">
      <alignment horizontal="center" vertical="center"/>
    </xf>
    <xf numFmtId="0" fontId="39" fillId="3" borderId="2" xfId="0" applyFont="1" applyFill="1" applyBorder="1" applyAlignment="1" applyProtection="1">
      <alignment horizontal="center" vertical="center"/>
      <protection hidden="1"/>
    </xf>
    <xf numFmtId="0" fontId="40" fillId="4" borderId="0" xfId="0" applyFont="1" applyFill="1" applyAlignment="1">
      <alignment horizontal="center" vertical="center"/>
    </xf>
    <xf numFmtId="0" fontId="40" fillId="4" borderId="0" xfId="0" applyFont="1" applyFill="1" applyAlignment="1" applyProtection="1">
      <alignment horizontal="center" vertical="center"/>
      <protection hidden="1"/>
    </xf>
    <xf numFmtId="0" fontId="41" fillId="4" borderId="0" xfId="0" applyFont="1" applyFill="1" applyAlignment="1">
      <alignment horizontal="center" vertical="center"/>
    </xf>
    <xf numFmtId="0" fontId="39" fillId="4" borderId="0" xfId="0" applyFont="1" applyFill="1" applyAlignment="1">
      <alignment horizontal="center" vertical="center"/>
    </xf>
    <xf numFmtId="0" fontId="41" fillId="4" borderId="0" xfId="0" applyFont="1" applyFill="1" applyAlignment="1" applyProtection="1">
      <alignment horizontal="center" vertical="center"/>
      <protection hidden="1"/>
    </xf>
    <xf numFmtId="0" fontId="42" fillId="10" borderId="0" xfId="0" applyFont="1" applyFill="1" applyBorder="1" applyAlignment="1" applyProtection="1">
      <alignment horizontal="center" vertical="center"/>
      <protection hidden="1"/>
    </xf>
    <xf numFmtId="0" fontId="10" fillId="0" borderId="52" xfId="0" applyFont="1" applyFill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53" xfId="0" applyFont="1" applyFill="1" applyBorder="1" applyAlignment="1" applyProtection="1">
      <alignment horizontal="center" vertical="center"/>
      <protection locked="0"/>
    </xf>
    <xf numFmtId="0" fontId="43" fillId="3" borderId="54" xfId="0" applyFont="1" applyFill="1" applyBorder="1" applyAlignment="1" applyProtection="1">
      <alignment horizontal="center" vertical="center"/>
      <protection hidden="1"/>
    </xf>
    <xf numFmtId="0" fontId="10" fillId="0" borderId="55" xfId="0" applyFont="1" applyFill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10" fillId="0" borderId="56" xfId="0" applyFont="1" applyFill="1" applyBorder="1" applyAlignment="1" applyProtection="1">
      <alignment horizontal="center" vertical="center"/>
      <protection locked="0"/>
    </xf>
    <xf numFmtId="10" fontId="10" fillId="0" borderId="57" xfId="0" applyNumberFormat="1" applyFont="1" applyBorder="1" applyAlignment="1" applyProtection="1">
      <alignment horizontal="center" vertical="center"/>
      <protection hidden="1"/>
    </xf>
    <xf numFmtId="0" fontId="10" fillId="0" borderId="58" xfId="0" applyFont="1" applyBorder="1" applyAlignment="1" applyProtection="1">
      <alignment horizontal="center" vertical="center"/>
      <protection locked="0"/>
    </xf>
    <xf numFmtId="0" fontId="10" fillId="0" borderId="59" xfId="0" applyFont="1" applyBorder="1" applyAlignment="1" applyProtection="1">
      <alignment horizontal="center" vertical="center"/>
      <protection locked="0"/>
    </xf>
    <xf numFmtId="0" fontId="10" fillId="0" borderId="60" xfId="0" applyFont="1" applyBorder="1" applyAlignment="1" applyProtection="1">
      <alignment horizontal="center" vertical="center"/>
      <protection locked="0"/>
    </xf>
    <xf numFmtId="0" fontId="10" fillId="0" borderId="61" xfId="0" applyFont="1" applyBorder="1" applyAlignment="1" applyProtection="1">
      <alignment horizontal="center" vertical="center"/>
      <protection locked="0"/>
    </xf>
    <xf numFmtId="0" fontId="10" fillId="0" borderId="62" xfId="0" applyFont="1" applyBorder="1" applyAlignment="1" applyProtection="1">
      <alignment horizontal="center" vertical="center"/>
      <protection locked="0"/>
    </xf>
    <xf numFmtId="0" fontId="10" fillId="0" borderId="63" xfId="0" applyFont="1" applyBorder="1" applyAlignment="1" applyProtection="1">
      <alignment horizontal="center" vertical="center"/>
      <protection locked="0"/>
    </xf>
    <xf numFmtId="0" fontId="10" fillId="0" borderId="64" xfId="0" applyFont="1" applyBorder="1" applyAlignment="1" applyProtection="1">
      <alignment horizontal="center" vertical="center"/>
      <protection locked="0"/>
    </xf>
    <xf numFmtId="0" fontId="10" fillId="0" borderId="65" xfId="0" applyFont="1" applyBorder="1" applyAlignment="1" applyProtection="1">
      <alignment horizontal="center" vertical="center"/>
      <protection locked="0"/>
    </xf>
    <xf numFmtId="0" fontId="10" fillId="0" borderId="66" xfId="0" applyFont="1" applyBorder="1" applyAlignment="1" applyProtection="1">
      <alignment horizontal="center" vertical="center"/>
      <protection locked="0"/>
    </xf>
    <xf numFmtId="0" fontId="10" fillId="0" borderId="67" xfId="0" applyFont="1" applyBorder="1" applyAlignment="1" applyProtection="1">
      <alignment horizontal="center" vertical="center"/>
      <protection locked="0"/>
    </xf>
    <xf numFmtId="0" fontId="10" fillId="0" borderId="68" xfId="0" applyFont="1" applyBorder="1" applyAlignment="1" applyProtection="1">
      <alignment horizontal="center" vertical="center"/>
      <protection locked="0"/>
    </xf>
    <xf numFmtId="0" fontId="43" fillId="3" borderId="69" xfId="0" applyFont="1" applyFill="1" applyBorder="1" applyAlignment="1" applyProtection="1">
      <alignment horizontal="center" vertical="center"/>
      <protection hidden="1"/>
    </xf>
    <xf numFmtId="0" fontId="10" fillId="0" borderId="70" xfId="0" applyFont="1" applyBorder="1" applyAlignment="1" applyProtection="1">
      <alignment horizontal="center" vertical="center"/>
      <protection locked="0"/>
    </xf>
    <xf numFmtId="0" fontId="10" fillId="0" borderId="71" xfId="0" applyFont="1" applyBorder="1" applyAlignment="1" applyProtection="1">
      <alignment horizontal="center" vertical="center"/>
      <protection locked="0"/>
    </xf>
    <xf numFmtId="0" fontId="10" fillId="0" borderId="72" xfId="0" applyFont="1" applyBorder="1" applyAlignment="1" applyProtection="1">
      <alignment horizontal="center" vertical="center"/>
      <protection hidden="1"/>
    </xf>
    <xf numFmtId="0" fontId="10" fillId="0" borderId="73" xfId="0" applyFont="1" applyBorder="1" applyAlignment="1" applyProtection="1">
      <alignment horizontal="center" vertical="center"/>
      <protection hidden="1"/>
    </xf>
    <xf numFmtId="0" fontId="10" fillId="0" borderId="74" xfId="0" applyFont="1" applyBorder="1" applyAlignment="1" applyProtection="1">
      <alignment horizontal="center" vertical="center"/>
      <protection hidden="1"/>
    </xf>
    <xf numFmtId="0" fontId="10" fillId="0" borderId="75" xfId="0" applyFont="1" applyBorder="1" applyAlignment="1" applyProtection="1">
      <alignment horizontal="center" vertical="center"/>
      <protection hidden="1"/>
    </xf>
    <xf numFmtId="0" fontId="10" fillId="0" borderId="76" xfId="0" applyFont="1" applyBorder="1" applyAlignment="1" applyProtection="1">
      <alignment horizontal="center" vertical="center"/>
      <protection hidden="1"/>
    </xf>
    <xf numFmtId="10" fontId="10" fillId="0" borderId="77" xfId="0" applyNumberFormat="1" applyFont="1" applyBorder="1" applyAlignment="1" applyProtection="1">
      <alignment horizontal="center" vertical="center"/>
      <protection hidden="1"/>
    </xf>
    <xf numFmtId="0" fontId="10" fillId="7" borderId="0" xfId="0" applyFont="1" applyFill="1" applyProtection="1">
      <alignment vertical="center"/>
      <protection hidden="1"/>
    </xf>
    <xf numFmtId="0" fontId="10" fillId="7" borderId="0" xfId="0" applyFon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10" fontId="10" fillId="2" borderId="0" xfId="0" applyNumberFormat="1" applyFont="1" applyFill="1" applyAlignment="1">
      <alignment horizontal="center" vertical="center"/>
    </xf>
    <xf numFmtId="0" fontId="46" fillId="0" borderId="78" xfId="0" applyFont="1" applyBorder="1" applyAlignment="1" applyProtection="1">
      <alignment horizontal="center" vertical="center"/>
      <protection hidden="1"/>
    </xf>
    <xf numFmtId="0" fontId="28" fillId="0" borderId="79" xfId="0" applyFont="1" applyBorder="1" applyAlignment="1" applyProtection="1">
      <alignment horizontal="center" vertical="center"/>
      <protection hidden="1"/>
    </xf>
    <xf numFmtId="0" fontId="10" fillId="0" borderId="80" xfId="0" applyFont="1" applyBorder="1" applyAlignment="1" applyProtection="1">
      <alignment horizontal="center" vertical="center"/>
      <protection hidden="1"/>
    </xf>
    <xf numFmtId="0" fontId="10" fillId="0" borderId="81" xfId="0" applyFont="1" applyBorder="1" applyAlignment="1" applyProtection="1">
      <alignment horizontal="center" vertical="center"/>
      <protection hidden="1"/>
    </xf>
    <xf numFmtId="0" fontId="10" fillId="2" borderId="0" xfId="0" applyFont="1" applyFill="1" applyBorder="1" applyAlignment="1">
      <alignment horizontal="center" vertical="center"/>
    </xf>
    <xf numFmtId="10" fontId="10" fillId="2" borderId="0" xfId="0" applyNumberFormat="1" applyFont="1" applyFill="1" applyBorder="1" applyAlignment="1">
      <alignment horizontal="center" vertical="center"/>
    </xf>
    <xf numFmtId="0" fontId="46" fillId="0" borderId="82" xfId="0" applyFont="1" applyBorder="1" applyAlignment="1" applyProtection="1">
      <alignment horizontal="center" vertical="center"/>
      <protection hidden="1"/>
    </xf>
    <xf numFmtId="0" fontId="28" fillId="0" borderId="83" xfId="0" applyFont="1" applyBorder="1" applyAlignment="1" applyProtection="1">
      <alignment horizontal="center" vertical="center"/>
      <protection hidden="1"/>
    </xf>
    <xf numFmtId="0" fontId="10" fillId="0" borderId="84" xfId="0" applyFont="1" applyBorder="1" applyAlignment="1" applyProtection="1">
      <alignment horizontal="center" vertical="center"/>
      <protection hidden="1"/>
    </xf>
    <xf numFmtId="0" fontId="10" fillId="0" borderId="85" xfId="0" applyFont="1" applyBorder="1" applyAlignment="1" applyProtection="1">
      <alignment horizontal="center" vertical="center"/>
      <protection hidden="1"/>
    </xf>
    <xf numFmtId="0" fontId="46" fillId="0" borderId="86" xfId="0" applyFont="1" applyBorder="1" applyAlignment="1" applyProtection="1">
      <alignment horizontal="center" vertical="center"/>
      <protection hidden="1"/>
    </xf>
    <xf numFmtId="0" fontId="10" fillId="0" borderId="87" xfId="0" applyFont="1" applyBorder="1" applyAlignment="1" applyProtection="1">
      <alignment horizontal="center" vertical="center"/>
      <protection hidden="1"/>
    </xf>
    <xf numFmtId="0" fontId="10" fillId="0" borderId="88" xfId="0" applyFont="1" applyBorder="1" applyAlignment="1" applyProtection="1">
      <alignment horizontal="center" vertical="center"/>
      <protection hidden="1"/>
    </xf>
    <xf numFmtId="0" fontId="36" fillId="11" borderId="89" xfId="0" applyFont="1" applyFill="1" applyBorder="1" applyAlignment="1" applyProtection="1">
      <alignment horizontal="center" vertical="center"/>
      <protection hidden="1"/>
    </xf>
    <xf numFmtId="0" fontId="11" fillId="2" borderId="90" xfId="0" applyFont="1" applyFill="1" applyBorder="1" applyAlignment="1" applyProtection="1">
      <alignment horizontal="center" vertical="center" wrapText="1"/>
      <protection hidden="1"/>
    </xf>
    <xf numFmtId="0" fontId="36" fillId="11" borderId="91" xfId="0" applyFont="1" applyFill="1" applyBorder="1" applyAlignment="1" applyProtection="1">
      <alignment horizontal="center" vertical="center"/>
      <protection hidden="1"/>
    </xf>
    <xf numFmtId="0" fontId="11" fillId="2" borderId="92" xfId="0" applyFont="1" applyFill="1" applyBorder="1" applyAlignment="1" applyProtection="1">
      <alignment horizontal="center" vertical="center" wrapText="1"/>
      <protection hidden="1"/>
    </xf>
    <xf numFmtId="0" fontId="37" fillId="2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Protection="1">
      <alignment vertical="center"/>
      <protection hidden="1"/>
    </xf>
    <xf numFmtId="0" fontId="10" fillId="0" borderId="0" xfId="0" applyFont="1" applyAlignment="1">
      <alignment horizontal="center" vertical="center"/>
    </xf>
    <xf numFmtId="0" fontId="48" fillId="2" borderId="0" xfId="0" applyFont="1" applyFill="1">
      <alignment vertical="center"/>
    </xf>
    <xf numFmtId="0" fontId="49" fillId="2" borderId="0" xfId="0" applyFont="1" applyFill="1" applyAlignment="1">
      <alignment vertical="center"/>
    </xf>
    <xf numFmtId="0" fontId="49" fillId="2" borderId="93" xfId="0" applyFont="1" applyFill="1" applyBorder="1" applyAlignment="1">
      <alignment vertical="center"/>
    </xf>
    <xf numFmtId="0" fontId="50" fillId="2" borderId="94" xfId="0" applyFont="1" applyFill="1" applyBorder="1" applyAlignment="1">
      <alignment horizontal="centerContinuous" vertical="center"/>
    </xf>
    <xf numFmtId="0" fontId="49" fillId="2" borderId="94" xfId="0" applyFont="1" applyFill="1" applyBorder="1" applyAlignment="1">
      <alignment horizontal="centerContinuous" vertical="center"/>
    </xf>
    <xf numFmtId="0" fontId="49" fillId="2" borderId="95" xfId="0" applyFont="1" applyFill="1" applyBorder="1" applyAlignment="1">
      <alignment vertical="center"/>
    </xf>
    <xf numFmtId="0" fontId="17" fillId="2" borderId="0" xfId="0" applyFont="1" applyFill="1">
      <alignment vertical="center"/>
    </xf>
    <xf numFmtId="0" fontId="17" fillId="2" borderId="96" xfId="0" applyFont="1" applyFill="1" applyBorder="1">
      <alignment vertical="center"/>
    </xf>
    <xf numFmtId="0" fontId="3" fillId="2" borderId="1" xfId="0" applyFont="1" applyFill="1" applyBorder="1" applyAlignment="1">
      <alignment horizontal="left" vertical="center" indent="1"/>
    </xf>
    <xf numFmtId="179" fontId="18" fillId="2" borderId="1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49" fontId="18" fillId="2" borderId="1" xfId="0" applyNumberFormat="1" applyFont="1" applyFill="1" applyBorder="1" applyAlignment="1">
      <alignment horizontal="center" vertical="center"/>
    </xf>
    <xf numFmtId="0" fontId="18" fillId="2" borderId="97" xfId="0" applyFont="1" applyFill="1" applyBorder="1">
      <alignment vertical="center"/>
    </xf>
    <xf numFmtId="0" fontId="17" fillId="2" borderId="0" xfId="0" applyFont="1" applyFill="1" applyBorder="1" applyAlignment="1">
      <alignment horizontal="left" vertical="center" indent="1"/>
    </xf>
    <xf numFmtId="14" fontId="18" fillId="2" borderId="0" xfId="0" applyNumberFormat="1" applyFont="1" applyFill="1" applyBorder="1" applyAlignment="1">
      <alignment horizontal="left" vertical="center" indent="1"/>
    </xf>
    <xf numFmtId="0" fontId="18" fillId="2" borderId="0" xfId="0" applyFont="1" applyFill="1" applyBorder="1" applyAlignment="1">
      <alignment horizontal="left" vertical="center" wrapText="1" indent="1"/>
    </xf>
    <xf numFmtId="0" fontId="18" fillId="2" borderId="0" xfId="0" applyFont="1" applyFill="1" applyBorder="1" applyAlignment="1">
      <alignment horizontal="left" vertical="center" indent="1"/>
    </xf>
    <xf numFmtId="0" fontId="17" fillId="2" borderId="0" xfId="0" applyFont="1" applyFill="1" applyAlignment="1">
      <alignment vertical="center"/>
    </xf>
    <xf numFmtId="0" fontId="17" fillId="2" borderId="96" xfId="0" applyFont="1" applyFill="1" applyBorder="1" applyAlignment="1">
      <alignment vertical="center"/>
    </xf>
    <xf numFmtId="0" fontId="3" fillId="2" borderId="98" xfId="0" applyFont="1" applyFill="1" applyBorder="1" applyAlignment="1">
      <alignment horizontal="left" vertical="center" wrapText="1" indent="1"/>
    </xf>
    <xf numFmtId="181" fontId="18" fillId="2" borderId="99" xfId="0" applyNumberFormat="1" applyFont="1" applyFill="1" applyBorder="1" applyAlignment="1">
      <alignment horizontal="right" vertical="center" indent="1"/>
    </xf>
    <xf numFmtId="0" fontId="3" fillId="2" borderId="99" xfId="0" applyFont="1" applyFill="1" applyBorder="1" applyAlignment="1">
      <alignment horizontal="left" vertical="center" wrapText="1" indent="1"/>
    </xf>
    <xf numFmtId="0" fontId="3" fillId="2" borderId="99" xfId="0" applyFont="1" applyFill="1" applyBorder="1" applyAlignment="1">
      <alignment horizontal="left" vertical="center" indent="1"/>
    </xf>
    <xf numFmtId="181" fontId="18" fillId="2" borderId="100" xfId="0" applyNumberFormat="1" applyFont="1" applyFill="1" applyBorder="1" applyAlignment="1">
      <alignment horizontal="right" vertical="center" indent="1"/>
    </xf>
    <xf numFmtId="0" fontId="18" fillId="2" borderId="97" xfId="0" applyFont="1" applyFill="1" applyBorder="1" applyAlignment="1">
      <alignment vertical="center"/>
    </xf>
    <xf numFmtId="0" fontId="3" fillId="2" borderId="101" xfId="0" applyFont="1" applyFill="1" applyBorder="1" applyAlignment="1">
      <alignment horizontal="left" vertical="center" indent="1"/>
    </xf>
    <xf numFmtId="181" fontId="18" fillId="2" borderId="73" xfId="0" applyNumberFormat="1" applyFont="1" applyFill="1" applyBorder="1" applyAlignment="1">
      <alignment horizontal="right" vertical="center" indent="1"/>
    </xf>
    <xf numFmtId="0" fontId="3" fillId="2" borderId="73" xfId="0" applyFont="1" applyFill="1" applyBorder="1" applyAlignment="1">
      <alignment horizontal="left" vertical="center" wrapText="1" indent="1"/>
    </xf>
    <xf numFmtId="181" fontId="18" fillId="2" borderId="74" xfId="0" applyNumberFormat="1" applyFont="1" applyFill="1" applyBorder="1" applyAlignment="1">
      <alignment horizontal="right" vertical="center" indent="1"/>
    </xf>
    <xf numFmtId="181" fontId="18" fillId="2" borderId="102" xfId="0" applyNumberFormat="1" applyFont="1" applyFill="1" applyBorder="1" applyAlignment="1">
      <alignment horizontal="right" vertical="center" indent="1"/>
    </xf>
    <xf numFmtId="0" fontId="3" fillId="2" borderId="103" xfId="0" applyFont="1" applyFill="1" applyBorder="1" applyAlignment="1">
      <alignment horizontal="left" vertical="center" wrapText="1" indent="1"/>
    </xf>
    <xf numFmtId="186" fontId="18" fillId="2" borderId="97" xfId="0" applyNumberFormat="1" applyFont="1" applyFill="1" applyBorder="1" applyAlignment="1">
      <alignment vertical="center"/>
    </xf>
    <xf numFmtId="181" fontId="18" fillId="2" borderId="104" xfId="0" applyNumberFormat="1" applyFont="1" applyFill="1" applyBorder="1" applyAlignment="1">
      <alignment horizontal="right" vertical="center" indent="1"/>
    </xf>
    <xf numFmtId="0" fontId="3" fillId="2" borderId="91" xfId="0" applyFont="1" applyFill="1" applyBorder="1" applyAlignment="1">
      <alignment horizontal="left" vertical="center" indent="1"/>
    </xf>
    <xf numFmtId="181" fontId="18" fillId="2" borderId="105" xfId="0" applyNumberFormat="1" applyFont="1" applyFill="1" applyBorder="1" applyAlignment="1">
      <alignment horizontal="right" vertical="center" indent="1"/>
    </xf>
    <xf numFmtId="0" fontId="3" fillId="2" borderId="106" xfId="0" applyFont="1" applyFill="1" applyBorder="1" applyAlignment="1">
      <alignment horizontal="left" vertical="center" wrapText="1" indent="1"/>
    </xf>
    <xf numFmtId="176" fontId="18" fillId="2" borderId="105" xfId="0" applyNumberFormat="1" applyFont="1" applyFill="1" applyBorder="1" applyAlignment="1">
      <alignment horizontal="right" vertical="center" indent="1"/>
    </xf>
    <xf numFmtId="0" fontId="3" fillId="2" borderId="105" xfId="0" applyFont="1" applyFill="1" applyBorder="1" applyAlignment="1">
      <alignment horizontal="left" vertical="center" wrapText="1" indent="1"/>
    </xf>
    <xf numFmtId="181" fontId="18" fillId="2" borderId="107" xfId="0" applyNumberFormat="1" applyFont="1" applyFill="1" applyBorder="1" applyAlignment="1">
      <alignment horizontal="right" vertical="center" indent="1"/>
    </xf>
    <xf numFmtId="0" fontId="17" fillId="2" borderId="0" xfId="0" applyFont="1" applyFill="1" applyBorder="1" applyAlignment="1">
      <alignment vertical="center" wrapText="1"/>
    </xf>
    <xf numFmtId="0" fontId="10" fillId="2" borderId="0" xfId="0" applyFont="1" applyFill="1" applyBorder="1" applyAlignment="1">
      <alignment horizontal="right" vertical="center"/>
    </xf>
    <xf numFmtId="0" fontId="17" fillId="2" borderId="0" xfId="0" applyFont="1" applyFill="1" applyBorder="1" applyAlignment="1">
      <alignment horizontal="left" vertical="center" wrapText="1"/>
    </xf>
    <xf numFmtId="0" fontId="18" fillId="2" borderId="0" xfId="0" applyFont="1" applyFill="1" applyBorder="1" applyAlignment="1">
      <alignment horizontal="left" vertical="center"/>
    </xf>
    <xf numFmtId="0" fontId="18" fillId="2" borderId="12" xfId="0" applyFont="1" applyFill="1" applyBorder="1" applyAlignment="1">
      <alignment horizontal="center" vertical="center" wrapText="1"/>
    </xf>
    <xf numFmtId="176" fontId="19" fillId="2" borderId="11" xfId="0" applyNumberFormat="1" applyFont="1" applyFill="1" applyBorder="1" applyAlignment="1">
      <alignment horizontal="center" vertical="center"/>
    </xf>
    <xf numFmtId="0" fontId="48" fillId="2" borderId="108" xfId="0" applyFont="1" applyFill="1" applyBorder="1">
      <alignment vertical="center"/>
    </xf>
    <xf numFmtId="0" fontId="48" fillId="2" borderId="109" xfId="0" applyFont="1" applyFill="1" applyBorder="1" applyAlignment="1">
      <alignment horizontal="left" wrapText="1"/>
    </xf>
    <xf numFmtId="0" fontId="19" fillId="2" borderId="109" xfId="0" applyFont="1" applyFill="1" applyBorder="1" applyAlignment="1">
      <alignment horizontal="left"/>
    </xf>
    <xf numFmtId="0" fontId="19" fillId="2" borderId="110" xfId="0" applyFont="1" applyFill="1" applyBorder="1">
      <alignment vertical="center"/>
    </xf>
    <xf numFmtId="0" fontId="49" fillId="2" borderId="0" xfId="0" applyFont="1" applyFill="1" applyAlignment="1">
      <alignment horizontal="left" vertical="center" indent="1"/>
    </xf>
    <xf numFmtId="0" fontId="49" fillId="2" borderId="93" xfId="0" applyFont="1" applyFill="1" applyBorder="1" applyAlignment="1">
      <alignment horizontal="left" vertical="center" indent="1"/>
    </xf>
    <xf numFmtId="0" fontId="49" fillId="2" borderId="95" xfId="0" applyFont="1" applyFill="1" applyBorder="1" applyAlignment="1">
      <alignment horizontal="left" vertical="center" indent="1"/>
    </xf>
    <xf numFmtId="186" fontId="18" fillId="2" borderId="97" xfId="0" applyNumberFormat="1" applyFont="1" applyFill="1" applyBorder="1">
      <alignment vertical="center"/>
    </xf>
    <xf numFmtId="0" fontId="18" fillId="2" borderId="29" xfId="0" applyFont="1" applyFill="1" applyBorder="1" applyAlignment="1">
      <alignment horizontal="center" vertical="center" wrapText="1"/>
    </xf>
    <xf numFmtId="0" fontId="19" fillId="2" borderId="109" xfId="0" applyFont="1" applyFill="1" applyBorder="1">
      <alignment vertical="center"/>
    </xf>
    <xf numFmtId="4" fontId="17" fillId="2" borderId="0" xfId="0" applyNumberFormat="1" applyFont="1" applyFill="1" applyBorder="1" applyAlignment="1">
      <alignment vertical="center" wrapText="1"/>
    </xf>
    <xf numFmtId="0" fontId="17" fillId="2" borderId="108" xfId="0" applyFont="1" applyFill="1" applyBorder="1">
      <alignment vertical="center"/>
    </xf>
    <xf numFmtId="0" fontId="17" fillId="2" borderId="109" xfId="0" applyFont="1" applyFill="1" applyBorder="1" applyAlignment="1">
      <alignment horizontal="left" wrapText="1"/>
    </xf>
    <xf numFmtId="0" fontId="18" fillId="2" borderId="109" xfId="0" applyFont="1" applyFill="1" applyBorder="1" applyAlignment="1">
      <alignment horizontal="left"/>
    </xf>
    <xf numFmtId="0" fontId="17" fillId="2" borderId="109" xfId="0" applyFont="1" applyFill="1" applyBorder="1" applyAlignment="1">
      <alignment horizontal="left" wrapText="1" indent="1"/>
    </xf>
    <xf numFmtId="0" fontId="18" fillId="2" borderId="109" xfId="0" applyFont="1" applyFill="1" applyBorder="1">
      <alignment vertical="center"/>
    </xf>
    <xf numFmtId="0" fontId="18" fillId="2" borderId="110" xfId="0" applyFont="1" applyFill="1" applyBorder="1">
      <alignment vertical="center"/>
    </xf>
    <xf numFmtId="0" fontId="51" fillId="2" borderId="0" xfId="0" applyFont="1" applyFill="1">
      <alignment vertical="center"/>
    </xf>
    <xf numFmtId="0" fontId="52" fillId="2" borderId="0" xfId="0" applyFont="1" applyFill="1" applyAlignment="1">
      <alignment horizontal="centerContinuous" vertical="center"/>
    </xf>
    <xf numFmtId="0" fontId="44" fillId="2" borderId="0" xfId="0" applyFont="1" applyFill="1" applyAlignment="1">
      <alignment horizontal="centerContinuous" vertical="center"/>
    </xf>
    <xf numFmtId="0" fontId="51" fillId="2" borderId="0" xfId="0" applyFont="1" applyFill="1" applyBorder="1">
      <alignment vertical="center"/>
    </xf>
    <xf numFmtId="0" fontId="51" fillId="2" borderId="111" xfId="0" applyFont="1" applyFill="1" applyBorder="1">
      <alignment vertical="center"/>
    </xf>
    <xf numFmtId="0" fontId="44" fillId="2" borderId="0" xfId="0" applyFont="1" applyFill="1" applyBorder="1" applyAlignment="1">
      <alignment horizontal="centerContinuous" vertical="center"/>
    </xf>
    <xf numFmtId="0" fontId="0" fillId="2" borderId="112" xfId="0" applyFill="1" applyBorder="1">
      <alignment vertical="center"/>
    </xf>
    <xf numFmtId="0" fontId="0" fillId="2" borderId="0" xfId="0" applyFill="1" applyBorder="1">
      <alignment vertical="center"/>
    </xf>
    <xf numFmtId="0" fontId="51" fillId="0" borderId="0" xfId="0" applyFont="1" applyBorder="1">
      <alignment vertical="center"/>
    </xf>
    <xf numFmtId="0" fontId="53" fillId="2" borderId="0" xfId="0" applyFont="1" applyFill="1" applyAlignment="1" applyProtection="1">
      <alignment horizontal="centerContinuous" vertical="center"/>
      <protection hidden="1"/>
    </xf>
    <xf numFmtId="0" fontId="51" fillId="2" borderId="0" xfId="0" applyFont="1" applyFill="1" applyAlignment="1">
      <alignment horizontal="centerContinuous" vertical="center"/>
    </xf>
    <xf numFmtId="0" fontId="53" fillId="2" borderId="0" xfId="0" applyFont="1" applyFill="1" applyBorder="1" applyAlignment="1" applyProtection="1">
      <alignment horizontal="centerContinuous" vertical="center"/>
      <protection hidden="1"/>
    </xf>
    <xf numFmtId="0" fontId="51" fillId="2" borderId="0" xfId="0" applyFont="1" applyFill="1" applyBorder="1" applyAlignment="1">
      <alignment horizontal="centerContinuous" vertical="center"/>
    </xf>
    <xf numFmtId="0" fontId="55" fillId="2" borderId="0" xfId="0" applyFont="1" applyFill="1" applyAlignment="1" applyProtection="1">
      <alignment horizontal="centerContinuous" vertical="center"/>
      <protection hidden="1"/>
    </xf>
    <xf numFmtId="0" fontId="55" fillId="2" borderId="0" xfId="0" applyFont="1" applyFill="1" applyBorder="1" applyAlignment="1" applyProtection="1">
      <alignment horizontal="centerContinuous" vertical="center"/>
      <protection hidden="1"/>
    </xf>
    <xf numFmtId="0" fontId="44" fillId="2" borderId="0" xfId="0" applyFont="1" applyFill="1">
      <alignment vertical="center"/>
    </xf>
    <xf numFmtId="49" fontId="57" fillId="2" borderId="0" xfId="0" applyNumberFormat="1" applyFont="1" applyFill="1" applyAlignment="1" applyProtection="1">
      <alignment horizontal="left" vertical="center"/>
      <protection locked="0"/>
    </xf>
    <xf numFmtId="0" fontId="44" fillId="2" borderId="0" xfId="0" applyFont="1" applyFill="1" applyAlignment="1">
      <alignment horizontal="center"/>
    </xf>
    <xf numFmtId="0" fontId="44" fillId="2" borderId="0" xfId="0" applyFont="1" applyFill="1" applyBorder="1">
      <alignment vertical="center"/>
    </xf>
    <xf numFmtId="49" fontId="57" fillId="2" borderId="0" xfId="0" applyNumberFormat="1" applyFont="1" applyFill="1" applyBorder="1" applyAlignment="1" applyProtection="1">
      <alignment horizontal="left" vertical="center"/>
      <protection locked="0"/>
    </xf>
    <xf numFmtId="0" fontId="44" fillId="2" borderId="0" xfId="0" applyFont="1" applyFill="1" applyBorder="1" applyAlignment="1">
      <alignment horizontal="center"/>
    </xf>
    <xf numFmtId="0" fontId="58" fillId="2" borderId="0" xfId="0" applyFont="1" applyFill="1" applyAlignment="1">
      <alignment horizontal="center" vertical="top"/>
    </xf>
    <xf numFmtId="0" fontId="44" fillId="2" borderId="0" xfId="0" applyFont="1" applyFill="1" applyAlignment="1">
      <alignment vertical="center"/>
    </xf>
    <xf numFmtId="0" fontId="51" fillId="2" borderId="0" xfId="0" applyFont="1" applyFill="1" applyAlignment="1">
      <alignment vertical="center"/>
    </xf>
    <xf numFmtId="57" fontId="44" fillId="2" borderId="0" xfId="0" applyNumberFormat="1" applyFont="1" applyFill="1" applyBorder="1" applyAlignment="1">
      <alignment horizontal="center" vertical="center"/>
    </xf>
    <xf numFmtId="0" fontId="44" fillId="2" borderId="0" xfId="0" applyFont="1" applyFill="1" applyBorder="1" applyAlignment="1">
      <alignment vertical="center"/>
    </xf>
    <xf numFmtId="0" fontId="51" fillId="2" borderId="0" xfId="0" applyFont="1" applyFill="1" applyBorder="1" applyAlignment="1">
      <alignment vertical="center"/>
    </xf>
    <xf numFmtId="0" fontId="60" fillId="2" borderId="113" xfId="0" applyFont="1" applyFill="1" applyBorder="1" applyAlignment="1">
      <alignment horizontal="centerContinuous" vertical="center"/>
    </xf>
    <xf numFmtId="0" fontId="60" fillId="0" borderId="114" xfId="0" applyFont="1" applyBorder="1" applyAlignment="1">
      <alignment horizontal="centerContinuous" vertical="center"/>
    </xf>
    <xf numFmtId="0" fontId="60" fillId="2" borderId="115" xfId="0" applyFont="1" applyFill="1" applyBorder="1" applyAlignment="1">
      <alignment horizontal="centerContinuous" vertical="center"/>
    </xf>
    <xf numFmtId="0" fontId="60" fillId="0" borderId="116" xfId="0" applyFont="1" applyBorder="1" applyAlignment="1">
      <alignment horizontal="centerContinuous" vertical="center"/>
    </xf>
    <xf numFmtId="0" fontId="60" fillId="2" borderId="117" xfId="0" applyFont="1" applyFill="1" applyBorder="1" applyAlignment="1">
      <alignment horizontal="centerContinuous" vertical="center"/>
    </xf>
    <xf numFmtId="0" fontId="60" fillId="8" borderId="43" xfId="0" applyFont="1" applyFill="1" applyBorder="1" applyAlignment="1">
      <alignment horizontal="center" vertical="center"/>
    </xf>
    <xf numFmtId="0" fontId="60" fillId="8" borderId="43" xfId="0" applyFont="1" applyFill="1" applyBorder="1" applyAlignment="1">
      <alignment horizontal="centerContinuous" vertical="center"/>
    </xf>
    <xf numFmtId="4" fontId="64" fillId="2" borderId="118" xfId="0" applyNumberFormat="1" applyFont="1" applyFill="1" applyBorder="1" applyAlignment="1">
      <alignment horizontal="centerContinuous" vertical="center"/>
    </xf>
    <xf numFmtId="178" fontId="38" fillId="2" borderId="119" xfId="2" applyFont="1" applyFill="1" applyBorder="1" applyAlignment="1">
      <alignment horizontal="center"/>
    </xf>
    <xf numFmtId="4" fontId="64" fillId="2" borderId="120" xfId="0" applyNumberFormat="1" applyFont="1" applyFill="1" applyBorder="1" applyAlignment="1">
      <alignment horizontal="centerContinuous" vertical="center"/>
    </xf>
    <xf numFmtId="4" fontId="64" fillId="2" borderId="121" xfId="0" applyNumberFormat="1" applyFont="1" applyFill="1" applyBorder="1" applyAlignment="1">
      <alignment horizontal="centerContinuous" vertical="center"/>
    </xf>
    <xf numFmtId="178" fontId="38" fillId="2" borderId="122" xfId="2" applyFont="1" applyFill="1" applyBorder="1" applyAlignment="1">
      <alignment horizontal="center"/>
    </xf>
    <xf numFmtId="0" fontId="62" fillId="2" borderId="123" xfId="0" applyFont="1" applyFill="1" applyBorder="1" applyAlignment="1">
      <alignment horizontal="left"/>
    </xf>
    <xf numFmtId="0" fontId="62" fillId="2" borderId="124" xfId="0" applyFont="1" applyFill="1" applyBorder="1" applyAlignment="1">
      <alignment horizontal="left"/>
    </xf>
    <xf numFmtId="2" fontId="61" fillId="2" borderId="121" xfId="0" applyNumberFormat="1" applyFont="1" applyFill="1" applyBorder="1" applyAlignment="1">
      <alignment horizontal="centerContinuous" vertical="center"/>
    </xf>
    <xf numFmtId="178" fontId="64" fillId="2" borderId="125" xfId="2" applyFont="1" applyFill="1" applyBorder="1" applyAlignment="1">
      <alignment horizontal="centerContinuous" vertical="center"/>
    </xf>
    <xf numFmtId="178" fontId="38" fillId="2" borderId="126" xfId="2" applyFont="1" applyFill="1" applyBorder="1" applyAlignment="1">
      <alignment horizontal="center"/>
    </xf>
    <xf numFmtId="178" fontId="64" fillId="2" borderId="127" xfId="2" applyFont="1" applyFill="1" applyBorder="1" applyAlignment="1">
      <alignment horizontal="centerContinuous" vertical="center"/>
    </xf>
    <xf numFmtId="178" fontId="38" fillId="2" borderId="128" xfId="2" applyFont="1" applyFill="1" applyBorder="1" applyAlignment="1">
      <alignment horizontal="center"/>
    </xf>
    <xf numFmtId="0" fontId="62" fillId="2" borderId="129" xfId="0" applyFont="1" applyFill="1" applyBorder="1" applyAlignment="1">
      <alignment horizontal="left"/>
    </xf>
    <xf numFmtId="178" fontId="64" fillId="2" borderId="121" xfId="2" applyFont="1" applyFill="1" applyBorder="1" applyAlignment="1">
      <alignment horizontal="centerContinuous" vertical="center"/>
    </xf>
    <xf numFmtId="2" fontId="61" fillId="2" borderId="130" xfId="0" applyNumberFormat="1" applyFont="1" applyFill="1" applyBorder="1" applyAlignment="1">
      <alignment horizontal="centerContinuous" vertical="center"/>
    </xf>
    <xf numFmtId="178" fontId="64" fillId="2" borderId="131" xfId="2" applyFont="1" applyFill="1" applyBorder="1" applyAlignment="1">
      <alignment horizontal="centerContinuous" vertical="center"/>
    </xf>
    <xf numFmtId="178" fontId="38" fillId="2" borderId="132" xfId="2" applyFont="1" applyFill="1" applyBorder="1" applyAlignment="1">
      <alignment horizontal="center" vertical="center"/>
    </xf>
    <xf numFmtId="178" fontId="64" fillId="2" borderId="133" xfId="2" applyFont="1" applyFill="1" applyBorder="1" applyAlignment="1">
      <alignment horizontal="centerContinuous" vertical="center"/>
    </xf>
    <xf numFmtId="0" fontId="66" fillId="2" borderId="0" xfId="0" applyFont="1" applyFill="1" applyAlignment="1">
      <alignment vertical="center"/>
    </xf>
    <xf numFmtId="0" fontId="66" fillId="2" borderId="0" xfId="0" applyFont="1" applyFill="1" applyBorder="1">
      <alignment vertical="center"/>
    </xf>
    <xf numFmtId="0" fontId="66" fillId="2" borderId="0" xfId="0" applyFont="1" applyFill="1" applyBorder="1" applyAlignment="1">
      <alignment horizontal="center" vertical="center"/>
    </xf>
    <xf numFmtId="0" fontId="66" fillId="2" borderId="111" xfId="0" applyFont="1" applyFill="1" applyBorder="1">
      <alignment vertical="center"/>
    </xf>
    <xf numFmtId="0" fontId="3" fillId="2" borderId="112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66" fillId="0" borderId="0" xfId="0" applyFont="1" applyBorder="1">
      <alignment vertical="center"/>
    </xf>
    <xf numFmtId="9" fontId="66" fillId="2" borderId="0" xfId="0" applyNumberFormat="1" applyFont="1" applyFill="1" applyBorder="1" applyAlignment="1">
      <alignment vertical="center"/>
    </xf>
    <xf numFmtId="0" fontId="66" fillId="2" borderId="0" xfId="0" applyFont="1" applyFill="1" applyBorder="1" applyAlignment="1">
      <alignment vertical="center"/>
    </xf>
    <xf numFmtId="182" fontId="66" fillId="2" borderId="0" xfId="0" applyNumberFormat="1" applyFont="1" applyFill="1" applyBorder="1" applyAlignment="1">
      <alignment vertical="center"/>
    </xf>
    <xf numFmtId="0" fontId="3" fillId="2" borderId="0" xfId="0" applyFont="1" applyFill="1">
      <alignment vertical="center"/>
    </xf>
    <xf numFmtId="178" fontId="66" fillId="2" borderId="0" xfId="2" applyFont="1" applyFill="1" applyBorder="1" applyAlignment="1">
      <alignment vertical="center"/>
    </xf>
    <xf numFmtId="0" fontId="67" fillId="2" borderId="0" xfId="0" applyFont="1" applyFill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3" borderId="0" xfId="0" applyFont="1" applyFill="1">
      <alignment vertical="center"/>
    </xf>
    <xf numFmtId="187" fontId="10" fillId="3" borderId="0" xfId="0" applyNumberFormat="1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99" xfId="0" applyFont="1" applyFill="1" applyBorder="1" applyAlignment="1">
      <alignment horizontal="center" vertical="center"/>
    </xf>
    <xf numFmtId="40" fontId="10" fillId="2" borderId="100" xfId="0" applyNumberFormat="1" applyFont="1" applyFill="1" applyBorder="1" applyAlignment="1">
      <alignment vertical="center"/>
    </xf>
    <xf numFmtId="0" fontId="10" fillId="2" borderId="73" xfId="0" applyFont="1" applyFill="1" applyBorder="1" applyAlignment="1">
      <alignment horizontal="center" vertical="center"/>
    </xf>
    <xf numFmtId="40" fontId="10" fillId="2" borderId="102" xfId="0" applyNumberFormat="1" applyFont="1" applyFill="1" applyBorder="1" applyAlignment="1">
      <alignment vertical="center"/>
    </xf>
    <xf numFmtId="0" fontId="10" fillId="2" borderId="107" xfId="0" applyFont="1" applyFill="1" applyBorder="1" applyAlignment="1">
      <alignment horizontal="center" vertical="center"/>
    </xf>
    <xf numFmtId="0" fontId="10" fillId="0" borderId="98" xfId="0" applyFont="1" applyBorder="1" applyAlignment="1">
      <alignment horizontal="center" vertical="center"/>
    </xf>
    <xf numFmtId="188" fontId="10" fillId="0" borderId="99" xfId="0" applyNumberFormat="1" applyFont="1" applyBorder="1" applyAlignment="1">
      <alignment horizontal="left" vertical="center"/>
    </xf>
    <xf numFmtId="0" fontId="10" fillId="0" borderId="99" xfId="0" applyFont="1" applyBorder="1" applyAlignment="1">
      <alignment horizontal="center" vertical="center"/>
    </xf>
    <xf numFmtId="49" fontId="10" fillId="0" borderId="99" xfId="0" applyNumberFormat="1" applyFont="1" applyBorder="1" applyAlignment="1">
      <alignment horizontal="right" vertical="center"/>
    </xf>
    <xf numFmtId="0" fontId="10" fillId="0" borderId="99" xfId="0" applyFont="1" applyBorder="1" applyAlignment="1">
      <alignment vertical="center"/>
    </xf>
    <xf numFmtId="40" fontId="10" fillId="0" borderId="99" xfId="0" applyNumberFormat="1" applyFont="1" applyBorder="1" applyAlignment="1">
      <alignment vertical="center"/>
    </xf>
    <xf numFmtId="182" fontId="10" fillId="0" borderId="99" xfId="2" applyNumberFormat="1" applyFont="1" applyBorder="1" applyAlignment="1">
      <alignment vertical="center"/>
    </xf>
    <xf numFmtId="182" fontId="10" fillId="0" borderId="99" xfId="0" applyNumberFormat="1" applyFont="1" applyBorder="1" applyAlignment="1">
      <alignment vertical="center"/>
    </xf>
    <xf numFmtId="181" fontId="10" fillId="0" borderId="100" xfId="0" applyNumberFormat="1" applyFont="1" applyBorder="1" applyAlignment="1">
      <alignment vertical="center"/>
    </xf>
    <xf numFmtId="0" fontId="10" fillId="0" borderId="101" xfId="0" applyFont="1" applyBorder="1" applyAlignment="1">
      <alignment horizontal="center" vertical="center"/>
    </xf>
    <xf numFmtId="188" fontId="10" fillId="0" borderId="73" xfId="0" applyNumberFormat="1" applyFont="1" applyBorder="1" applyAlignment="1">
      <alignment horizontal="left" vertical="center"/>
    </xf>
    <xf numFmtId="0" fontId="10" fillId="0" borderId="73" xfId="0" applyFont="1" applyBorder="1" applyAlignment="1">
      <alignment horizontal="center" vertical="center"/>
    </xf>
    <xf numFmtId="49" fontId="10" fillId="0" borderId="73" xfId="0" applyNumberFormat="1" applyFont="1" applyBorder="1" applyAlignment="1">
      <alignment horizontal="right" vertical="center"/>
    </xf>
    <xf numFmtId="0" fontId="10" fillId="0" borderId="73" xfId="0" applyFont="1" applyBorder="1" applyAlignment="1">
      <alignment vertical="center"/>
    </xf>
    <xf numFmtId="40" fontId="10" fillId="0" borderId="73" xfId="0" applyNumberFormat="1" applyFont="1" applyBorder="1" applyAlignment="1">
      <alignment vertical="center"/>
    </xf>
    <xf numFmtId="182" fontId="10" fillId="0" borderId="73" xfId="2" applyNumberFormat="1" applyFont="1" applyBorder="1" applyAlignment="1">
      <alignment vertical="center"/>
    </xf>
    <xf numFmtId="182" fontId="10" fillId="0" borderId="73" xfId="0" applyNumberFormat="1" applyFont="1" applyBorder="1" applyAlignment="1">
      <alignment vertical="center"/>
    </xf>
    <xf numFmtId="181" fontId="10" fillId="0" borderId="102" xfId="0" applyNumberFormat="1" applyFont="1" applyBorder="1" applyAlignment="1">
      <alignment vertical="center"/>
    </xf>
    <xf numFmtId="0" fontId="10" fillId="0" borderId="91" xfId="0" applyFont="1" applyBorder="1" applyAlignment="1">
      <alignment horizontal="center" vertical="center"/>
    </xf>
    <xf numFmtId="188" fontId="10" fillId="0" borderId="105" xfId="0" applyNumberFormat="1" applyFont="1" applyBorder="1" applyAlignment="1">
      <alignment horizontal="left" vertical="center"/>
    </xf>
    <xf numFmtId="0" fontId="10" fillId="0" borderId="105" xfId="0" applyFont="1" applyBorder="1" applyAlignment="1">
      <alignment horizontal="center" vertical="center"/>
    </xf>
    <xf numFmtId="49" fontId="10" fillId="0" borderId="105" xfId="0" applyNumberFormat="1" applyFont="1" applyBorder="1" applyAlignment="1">
      <alignment horizontal="right" vertical="center"/>
    </xf>
    <xf numFmtId="0" fontId="10" fillId="0" borderId="105" xfId="0" applyFont="1" applyBorder="1" applyAlignment="1">
      <alignment vertical="center"/>
    </xf>
    <xf numFmtId="40" fontId="10" fillId="0" borderId="105" xfId="0" applyNumberFormat="1" applyFont="1" applyBorder="1" applyAlignment="1">
      <alignment vertical="center"/>
    </xf>
    <xf numFmtId="182" fontId="10" fillId="0" borderId="105" xfId="2" applyNumberFormat="1" applyFont="1" applyBorder="1" applyAlignment="1">
      <alignment vertical="center"/>
    </xf>
    <xf numFmtId="182" fontId="10" fillId="0" borderId="105" xfId="0" applyNumberFormat="1" applyFont="1" applyBorder="1" applyAlignment="1">
      <alignment vertical="center"/>
    </xf>
    <xf numFmtId="181" fontId="10" fillId="0" borderId="107" xfId="0" applyNumberFormat="1" applyFont="1" applyBorder="1" applyAlignment="1">
      <alignment vertical="center"/>
    </xf>
    <xf numFmtId="0" fontId="10" fillId="2" borderId="0" xfId="0" applyFont="1" applyFill="1" applyBorder="1">
      <alignment vertical="center"/>
    </xf>
    <xf numFmtId="0" fontId="0" fillId="2" borderId="134" xfId="0" applyFill="1" applyBorder="1">
      <alignment vertical="center"/>
    </xf>
    <xf numFmtId="0" fontId="10" fillId="2" borderId="0" xfId="0" applyFont="1" applyFill="1" applyBorder="1" applyAlignment="1">
      <alignment vertical="center"/>
    </xf>
    <xf numFmtId="0" fontId="68" fillId="2" borderId="0" xfId="0" applyFont="1" applyFill="1" applyBorder="1" applyAlignment="1">
      <alignment vertical="center"/>
    </xf>
    <xf numFmtId="0" fontId="50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10" fillId="2" borderId="135" xfId="0" applyFont="1" applyFill="1" applyBorder="1" applyAlignment="1">
      <alignment vertical="center"/>
    </xf>
    <xf numFmtId="0" fontId="0" fillId="2" borderId="135" xfId="0" applyFill="1" applyBorder="1" applyAlignment="1">
      <alignment vertical="center"/>
    </xf>
    <xf numFmtId="0" fontId="10" fillId="2" borderId="135" xfId="0" applyFont="1" applyFill="1" applyBorder="1" applyAlignment="1">
      <alignment horizontal="right" vertical="center"/>
    </xf>
    <xf numFmtId="0" fontId="0" fillId="2" borderId="136" xfId="0" applyFill="1" applyBorder="1" applyAlignment="1">
      <alignment horizontal="center" vertical="center"/>
    </xf>
    <xf numFmtId="0" fontId="0" fillId="2" borderId="105" xfId="0" applyFill="1" applyBorder="1" applyAlignment="1">
      <alignment horizontal="center" vertical="center"/>
    </xf>
    <xf numFmtId="0" fontId="0" fillId="2" borderId="137" xfId="0" applyFill="1" applyBorder="1" applyAlignment="1">
      <alignment horizontal="center" vertical="center"/>
    </xf>
    <xf numFmtId="4" fontId="10" fillId="2" borderId="99" xfId="0" applyNumberFormat="1" applyFont="1" applyFill="1" applyBorder="1" applyAlignment="1">
      <alignment horizontal="center" vertical="center"/>
    </xf>
    <xf numFmtId="4" fontId="10" fillId="2" borderId="138" xfId="0" applyNumberFormat="1" applyFont="1" applyFill="1" applyBorder="1">
      <alignment vertical="center"/>
    </xf>
    <xf numFmtId="4" fontId="0" fillId="2" borderId="139" xfId="0" applyNumberFormat="1" applyFill="1" applyBorder="1">
      <alignment vertical="center"/>
    </xf>
    <xf numFmtId="9" fontId="0" fillId="2" borderId="0" xfId="0" applyNumberFormat="1" applyFill="1">
      <alignment vertical="center"/>
    </xf>
    <xf numFmtId="0" fontId="0" fillId="2" borderId="140" xfId="0" applyFill="1" applyBorder="1" applyAlignment="1">
      <alignment horizontal="center" vertical="center"/>
    </xf>
    <xf numFmtId="0" fontId="10" fillId="2" borderId="99" xfId="0" applyFont="1" applyFill="1" applyBorder="1" applyAlignment="1">
      <alignment vertical="center"/>
    </xf>
    <xf numFmtId="188" fontId="48" fillId="2" borderId="99" xfId="0" applyNumberFormat="1" applyFont="1" applyFill="1" applyBorder="1" applyAlignment="1">
      <alignment vertical="center"/>
    </xf>
    <xf numFmtId="190" fontId="48" fillId="2" borderId="99" xfId="0" applyNumberFormat="1" applyFont="1" applyFill="1" applyBorder="1" applyAlignment="1">
      <alignment vertical="center"/>
    </xf>
    <xf numFmtId="181" fontId="10" fillId="2" borderId="99" xfId="0" applyNumberFormat="1" applyFont="1" applyFill="1" applyBorder="1" applyAlignment="1">
      <alignment vertical="center"/>
    </xf>
    <xf numFmtId="0" fontId="0" fillId="2" borderId="99" xfId="0" applyFill="1" applyBorder="1" applyAlignment="1">
      <alignment vertical="center"/>
    </xf>
    <xf numFmtId="9" fontId="10" fillId="2" borderId="99" xfId="0" applyNumberFormat="1" applyFont="1" applyFill="1" applyBorder="1" applyAlignment="1">
      <alignment horizontal="center" vertical="center"/>
    </xf>
    <xf numFmtId="4" fontId="10" fillId="2" borderId="99" xfId="0" applyNumberFormat="1" applyFont="1" applyFill="1" applyBorder="1">
      <alignment vertical="center"/>
    </xf>
    <xf numFmtId="4" fontId="0" fillId="2" borderId="141" xfId="0" applyNumberFormat="1" applyFill="1" applyBorder="1">
      <alignment vertical="center"/>
    </xf>
    <xf numFmtId="0" fontId="0" fillId="6" borderId="0" xfId="0" applyFill="1" applyBorder="1">
      <alignment vertical="center"/>
    </xf>
    <xf numFmtId="0" fontId="0" fillId="6" borderId="0" xfId="0" applyFill="1">
      <alignment vertical="center"/>
    </xf>
    <xf numFmtId="0" fontId="0" fillId="2" borderId="142" xfId="0" applyFill="1" applyBorder="1" applyAlignment="1">
      <alignment horizontal="center" vertical="center"/>
    </xf>
    <xf numFmtId="0" fontId="10" fillId="2" borderId="73" xfId="0" applyFont="1" applyFill="1" applyBorder="1" applyAlignment="1">
      <alignment vertical="center"/>
    </xf>
    <xf numFmtId="188" fontId="48" fillId="2" borderId="73" xfId="0" applyNumberFormat="1" applyFont="1" applyFill="1" applyBorder="1" applyAlignment="1">
      <alignment vertical="center"/>
    </xf>
    <xf numFmtId="191" fontId="10" fillId="2" borderId="73" xfId="0" applyNumberFormat="1" applyFont="1" applyFill="1" applyBorder="1" applyAlignment="1">
      <alignment vertical="center"/>
    </xf>
    <xf numFmtId="4" fontId="10" fillId="2" borderId="73" xfId="0" applyNumberFormat="1" applyFont="1" applyFill="1" applyBorder="1" applyAlignment="1">
      <alignment horizontal="center" vertical="center"/>
    </xf>
    <xf numFmtId="181" fontId="10" fillId="2" borderId="73" xfId="0" applyNumberFormat="1" applyFont="1" applyFill="1" applyBorder="1" applyAlignment="1">
      <alignment vertical="center"/>
    </xf>
    <xf numFmtId="0" fontId="0" fillId="2" borderId="73" xfId="0" applyFill="1" applyBorder="1" applyAlignment="1">
      <alignment vertical="center"/>
    </xf>
    <xf numFmtId="4" fontId="0" fillId="2" borderId="73" xfId="0" applyNumberFormat="1" applyFill="1" applyBorder="1">
      <alignment vertical="center"/>
    </xf>
    <xf numFmtId="9" fontId="10" fillId="2" borderId="73" xfId="0" applyNumberFormat="1" applyFont="1" applyFill="1" applyBorder="1" applyAlignment="1">
      <alignment horizontal="center" vertical="center"/>
    </xf>
    <xf numFmtId="4" fontId="10" fillId="2" borderId="73" xfId="0" applyNumberFormat="1" applyFont="1" applyFill="1" applyBorder="1" applyAlignment="1">
      <alignment horizontal="right" vertical="center"/>
    </xf>
    <xf numFmtId="4" fontId="10" fillId="2" borderId="73" xfId="0" applyNumberFormat="1" applyFont="1" applyFill="1" applyBorder="1">
      <alignment vertical="center"/>
    </xf>
    <xf numFmtId="4" fontId="0" fillId="2" borderId="143" xfId="0" applyNumberFormat="1" applyFill="1" applyBorder="1">
      <alignment vertical="center"/>
    </xf>
    <xf numFmtId="0" fontId="10" fillId="2" borderId="144" xfId="0" applyFont="1" applyFill="1" applyBorder="1" applyAlignment="1">
      <alignment vertical="center"/>
    </xf>
    <xf numFmtId="0" fontId="10" fillId="2" borderId="145" xfId="0" applyFont="1" applyFill="1" applyBorder="1" applyAlignment="1">
      <alignment vertical="center"/>
    </xf>
    <xf numFmtId="0" fontId="10" fillId="2" borderId="146" xfId="0" applyFont="1" applyFill="1" applyBorder="1" applyAlignment="1">
      <alignment vertical="center"/>
    </xf>
    <xf numFmtId="0" fontId="10" fillId="2" borderId="147" xfId="0" applyFont="1" applyFill="1" applyBorder="1" applyAlignment="1">
      <alignment horizontal="centerContinuous" vertical="center"/>
    </xf>
    <xf numFmtId="0" fontId="10" fillId="2" borderId="148" xfId="0" applyFont="1" applyFill="1" applyBorder="1" applyAlignment="1">
      <alignment horizontal="centerContinuous" vertical="center"/>
    </xf>
    <xf numFmtId="0" fontId="10" fillId="2" borderId="148" xfId="0" applyFont="1" applyFill="1" applyBorder="1" applyAlignment="1">
      <alignment horizontal="left" vertical="center"/>
    </xf>
    <xf numFmtId="0" fontId="10" fillId="2" borderId="149" xfId="0" applyFont="1" applyFill="1" applyBorder="1" applyAlignment="1">
      <alignment horizontal="centerContinuous" vertical="center"/>
    </xf>
    <xf numFmtId="0" fontId="10" fillId="2" borderId="150" xfId="0" applyFont="1" applyFill="1" applyBorder="1" applyAlignment="1">
      <alignment vertical="center"/>
    </xf>
    <xf numFmtId="0" fontId="10" fillId="2" borderId="151" xfId="0" applyFont="1" applyFill="1" applyBorder="1" applyAlignment="1">
      <alignment vertical="center"/>
    </xf>
    <xf numFmtId="0" fontId="10" fillId="2" borderId="152" xfId="0" applyFont="1" applyFill="1" applyBorder="1" applyAlignment="1">
      <alignment vertical="center"/>
    </xf>
    <xf numFmtId="0" fontId="10" fillId="2" borderId="153" xfId="0" applyFont="1" applyFill="1" applyBorder="1" applyAlignment="1">
      <alignment vertical="center"/>
    </xf>
    <xf numFmtId="0" fontId="10" fillId="2" borderId="154" xfId="0" applyFont="1" applyFill="1" applyBorder="1" applyAlignment="1">
      <alignment vertical="center"/>
    </xf>
    <xf numFmtId="0" fontId="10" fillId="2" borderId="155" xfId="0" applyFont="1" applyFill="1" applyBorder="1" applyAlignment="1">
      <alignment vertical="center"/>
    </xf>
    <xf numFmtId="0" fontId="10" fillId="2" borderId="156" xfId="0" applyFont="1" applyFill="1" applyBorder="1" applyAlignment="1">
      <alignment vertical="center"/>
    </xf>
    <xf numFmtId="0" fontId="10" fillId="2" borderId="156" xfId="0" applyFont="1" applyFill="1" applyBorder="1" applyAlignment="1">
      <alignment horizontal="right" vertical="center"/>
    </xf>
    <xf numFmtId="0" fontId="0" fillId="2" borderId="156" xfId="0" applyFill="1" applyBorder="1" applyAlignment="1">
      <alignment vertical="center"/>
    </xf>
    <xf numFmtId="0" fontId="0" fillId="2" borderId="155" xfId="0" applyFill="1" applyBorder="1" applyAlignment="1">
      <alignment vertical="center"/>
    </xf>
    <xf numFmtId="0" fontId="10" fillId="2" borderId="157" xfId="0" applyFont="1" applyFill="1" applyBorder="1" applyAlignment="1">
      <alignment horizontal="centerContinuous"/>
    </xf>
    <xf numFmtId="0" fontId="10" fillId="2" borderId="158" xfId="0" applyFont="1" applyFill="1" applyBorder="1" applyAlignment="1">
      <alignment horizontal="centerContinuous" vertical="center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Continuous" vertical="center"/>
    </xf>
    <xf numFmtId="0" fontId="50" fillId="2" borderId="0" xfId="0" applyFont="1" applyFill="1" applyAlignment="1">
      <alignment horizontal="centerContinuous" vertical="center"/>
    </xf>
    <xf numFmtId="0" fontId="10" fillId="2" borderId="0" xfId="0" applyFont="1" applyFill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2" borderId="159" xfId="0" applyFill="1" applyBorder="1" applyAlignment="1">
      <alignment horizontal="center" vertical="center"/>
    </xf>
    <xf numFmtId="0" fontId="0" fillId="2" borderId="160" xfId="0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0" fillId="2" borderId="162" xfId="0" applyFill="1" applyBorder="1" applyAlignment="1">
      <alignment horizontal="center" vertical="center"/>
    </xf>
    <xf numFmtId="0" fontId="0" fillId="2" borderId="163" xfId="0" applyFill="1" applyBorder="1" applyAlignment="1">
      <alignment horizontal="center" vertical="center"/>
    </xf>
    <xf numFmtId="0" fontId="0" fillId="2" borderId="164" xfId="0" applyFill="1" applyBorder="1" applyAlignment="1">
      <alignment horizontal="center" vertical="center"/>
    </xf>
    <xf numFmtId="0" fontId="10" fillId="2" borderId="165" xfId="0" applyFont="1" applyFill="1" applyBorder="1" applyAlignment="1">
      <alignment horizontal="center" vertical="center"/>
    </xf>
    <xf numFmtId="188" fontId="48" fillId="2" borderId="166" xfId="0" applyNumberFormat="1" applyFont="1" applyFill="1" applyBorder="1" applyAlignment="1">
      <alignment horizontal="center" vertical="center"/>
    </xf>
    <xf numFmtId="4" fontId="10" fillId="2" borderId="167" xfId="0" applyNumberFormat="1" applyFont="1" applyFill="1" applyBorder="1" applyAlignment="1">
      <alignment vertical="center"/>
    </xf>
    <xf numFmtId="4" fontId="10" fillId="2" borderId="74" xfId="0" applyNumberFormat="1" applyFont="1" applyFill="1" applyBorder="1" applyAlignment="1">
      <alignment vertical="center"/>
    </xf>
    <xf numFmtId="4" fontId="10" fillId="2" borderId="147" xfId="0" applyNumberFormat="1" applyFont="1" applyFill="1" applyBorder="1" applyAlignment="1">
      <alignment vertical="center"/>
    </xf>
    <xf numFmtId="0" fontId="10" fillId="2" borderId="168" xfId="0" applyFont="1" applyFill="1" applyBorder="1" applyAlignment="1">
      <alignment vertical="center"/>
    </xf>
    <xf numFmtId="4" fontId="10" fillId="2" borderId="169" xfId="0" applyNumberFormat="1" applyFont="1" applyFill="1" applyBorder="1" applyAlignment="1">
      <alignment vertical="center"/>
    </xf>
    <xf numFmtId="4" fontId="10" fillId="2" borderId="73" xfId="0" applyNumberFormat="1" applyFont="1" applyFill="1" applyBorder="1" applyAlignment="1">
      <alignment vertical="center"/>
    </xf>
    <xf numFmtId="4" fontId="10" fillId="2" borderId="170" xfId="0" applyNumberFormat="1" applyFont="1" applyFill="1" applyBorder="1" applyAlignment="1">
      <alignment vertical="center"/>
    </xf>
    <xf numFmtId="0" fontId="10" fillId="2" borderId="171" xfId="0" applyFont="1" applyFill="1" applyBorder="1" applyAlignment="1">
      <alignment vertical="center"/>
    </xf>
    <xf numFmtId="180" fontId="10" fillId="2" borderId="152" xfId="0" applyNumberFormat="1" applyFont="1" applyFill="1" applyBorder="1" applyAlignment="1">
      <alignment vertical="center"/>
    </xf>
    <xf numFmtId="180" fontId="10" fillId="2" borderId="76" xfId="0" applyNumberFormat="1" applyFont="1" applyFill="1" applyBorder="1" applyAlignment="1">
      <alignment vertical="center"/>
    </xf>
    <xf numFmtId="180" fontId="10" fillId="2" borderId="153" xfId="0" applyNumberFormat="1" applyFont="1" applyFill="1" applyBorder="1" applyAlignment="1">
      <alignment vertical="center"/>
    </xf>
    <xf numFmtId="0" fontId="10" fillId="2" borderId="172" xfId="0" applyFont="1" applyFill="1" applyBorder="1" applyAlignment="1">
      <alignment vertical="center"/>
    </xf>
    <xf numFmtId="188" fontId="0" fillId="2" borderId="0" xfId="0" applyNumberFormat="1" applyFill="1">
      <alignment vertical="center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 wrapText="1"/>
    </xf>
    <xf numFmtId="58" fontId="3" fillId="0" borderId="0" xfId="0" applyNumberFormat="1" applyFont="1" applyAlignment="1">
      <alignment horizontal="left" vertical="center" wrapText="1"/>
    </xf>
    <xf numFmtId="193" fontId="46" fillId="0" borderId="0" xfId="0" applyNumberFormat="1" applyFont="1" applyFill="1" applyAlignment="1">
      <alignment horizontal="centerContinuous" vertical="center"/>
    </xf>
    <xf numFmtId="0" fontId="69" fillId="0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181" fontId="70" fillId="0" borderId="160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4" fontId="10" fillId="2" borderId="99" xfId="0" applyNumberFormat="1" applyFont="1" applyFill="1" applyBorder="1" applyAlignment="1">
      <alignment horizontal="right" vertical="center"/>
    </xf>
    <xf numFmtId="4" fontId="10" fillId="2" borderId="162" xfId="0" applyNumberFormat="1" applyFont="1" applyFill="1" applyBorder="1" applyAlignment="1">
      <alignment horizontal="center" vertical="center"/>
    </xf>
    <xf numFmtId="0" fontId="10" fillId="2" borderId="150" xfId="0" applyFont="1" applyFill="1" applyBorder="1" applyAlignment="1">
      <alignment horizontal="centerContinuous" vertical="center"/>
    </xf>
    <xf numFmtId="188" fontId="10" fillId="2" borderId="173" xfId="0" applyNumberFormat="1" applyFont="1" applyFill="1" applyBorder="1" applyAlignment="1">
      <alignment horizontal="centerContinuous" vertical="center"/>
    </xf>
    <xf numFmtId="0" fontId="71" fillId="12" borderId="0" xfId="0" applyFont="1" applyFill="1" applyBorder="1" applyAlignment="1">
      <alignment horizontal="left" vertical="center"/>
    </xf>
    <xf numFmtId="0" fontId="0" fillId="0" borderId="0" xfId="0" applyAlignment="1">
      <alignment horizontal="centerContinuous" vertical="center"/>
    </xf>
    <xf numFmtId="0" fontId="3" fillId="0" borderId="17" xfId="0" applyFont="1" applyFill="1" applyBorder="1" applyAlignment="1" applyProtection="1">
      <alignment horizontal="left" vertical="center"/>
      <protection locked="0"/>
    </xf>
    <xf numFmtId="0" fontId="12" fillId="0" borderId="17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25" fillId="0" borderId="0" xfId="0" applyFont="1">
      <alignment vertical="center"/>
    </xf>
    <xf numFmtId="0" fontId="40" fillId="0" borderId="0" xfId="0" applyFont="1">
      <alignment vertical="center"/>
    </xf>
    <xf numFmtId="0" fontId="72" fillId="0" borderId="0" xfId="0" applyFont="1">
      <alignment vertical="center"/>
    </xf>
    <xf numFmtId="194" fontId="17" fillId="0" borderId="17" xfId="0" applyNumberFormat="1" applyFont="1" applyFill="1" applyBorder="1" applyAlignment="1" applyProtection="1">
      <alignment horizontal="center" vertical="center"/>
      <protection hidden="1"/>
    </xf>
    <xf numFmtId="181" fontId="10" fillId="0" borderId="0" xfId="0" applyNumberFormat="1" applyFont="1">
      <alignment vertical="center"/>
    </xf>
    <xf numFmtId="181" fontId="10" fillId="13" borderId="0" xfId="0" applyNumberFormat="1" applyFont="1" applyFill="1" applyAlignment="1">
      <alignment horizontal="center" vertical="center"/>
    </xf>
    <xf numFmtId="181" fontId="10" fillId="13" borderId="0" xfId="0" applyNumberFormat="1" applyFont="1" applyFill="1">
      <alignment vertical="center"/>
    </xf>
    <xf numFmtId="181" fontId="10" fillId="0" borderId="0" xfId="0" applyNumberFormat="1" applyFont="1" applyAlignment="1">
      <alignment horizontal="center" vertical="center"/>
    </xf>
    <xf numFmtId="181" fontId="10" fillId="0" borderId="0" xfId="0" applyNumberFormat="1" applyFont="1" applyAlignment="1">
      <alignment horizontal="center" vertical="center" wrapText="1"/>
    </xf>
    <xf numFmtId="181" fontId="10" fillId="13" borderId="174" xfId="0" applyNumberFormat="1" applyFont="1" applyFill="1" applyBorder="1" applyAlignment="1">
      <alignment horizontal="center" vertical="center" wrapText="1"/>
    </xf>
    <xf numFmtId="181" fontId="10" fillId="13" borderId="175" xfId="0" applyNumberFormat="1" applyFont="1" applyFill="1" applyBorder="1" applyAlignment="1">
      <alignment horizontal="center" vertical="center" wrapText="1"/>
    </xf>
    <xf numFmtId="181" fontId="10" fillId="13" borderId="176" xfId="0" applyNumberFormat="1" applyFont="1" applyFill="1" applyBorder="1" applyAlignment="1">
      <alignment horizontal="center" vertical="center" wrapText="1"/>
    </xf>
    <xf numFmtId="181" fontId="10" fillId="13" borderId="177" xfId="0" applyNumberFormat="1" applyFont="1" applyFill="1" applyBorder="1" applyAlignment="1">
      <alignment horizontal="center" vertical="center"/>
    </xf>
    <xf numFmtId="181" fontId="10" fillId="13" borderId="178" xfId="0" applyNumberFormat="1" applyFont="1" applyFill="1" applyBorder="1">
      <alignment vertical="center"/>
    </xf>
    <xf numFmtId="181" fontId="10" fillId="13" borderId="179" xfId="0" applyNumberFormat="1" applyFont="1" applyFill="1" applyBorder="1">
      <alignment vertical="center"/>
    </xf>
    <xf numFmtId="181" fontId="10" fillId="13" borderId="180" xfId="0" applyNumberFormat="1" applyFont="1" applyFill="1" applyBorder="1" applyAlignment="1">
      <alignment horizontal="center" vertical="center" wrapText="1"/>
    </xf>
    <xf numFmtId="181" fontId="10" fillId="13" borderId="181" xfId="0" applyNumberFormat="1" applyFont="1" applyFill="1" applyBorder="1" applyAlignment="1">
      <alignment horizontal="center" vertical="center" wrapText="1"/>
    </xf>
    <xf numFmtId="181" fontId="10" fillId="13" borderId="182" xfId="0" applyNumberFormat="1" applyFont="1" applyFill="1" applyBorder="1" applyAlignment="1">
      <alignment horizontal="center" vertical="center" wrapText="1"/>
    </xf>
    <xf numFmtId="181" fontId="10" fillId="13" borderId="183" xfId="0" applyNumberFormat="1" applyFont="1" applyFill="1" applyBorder="1" applyAlignment="1">
      <alignment horizontal="center" vertical="center"/>
    </xf>
    <xf numFmtId="181" fontId="10" fillId="13" borderId="184" xfId="0" applyNumberFormat="1" applyFont="1" applyFill="1" applyBorder="1">
      <alignment vertical="center"/>
    </xf>
    <xf numFmtId="181" fontId="10" fillId="13" borderId="185" xfId="0" applyNumberFormat="1" applyFont="1" applyFill="1" applyBorder="1">
      <alignment vertical="center"/>
    </xf>
    <xf numFmtId="181" fontId="10" fillId="13" borderId="0" xfId="0" applyNumberFormat="1" applyFont="1" applyFill="1" applyAlignment="1">
      <alignment horizontal="center" vertical="center" wrapText="1"/>
    </xf>
    <xf numFmtId="0" fontId="11" fillId="2" borderId="186" xfId="0" applyFont="1" applyFill="1" applyBorder="1" applyAlignment="1" applyProtection="1">
      <alignment horizontal="center" vertical="center" wrapText="1"/>
      <protection locked="0"/>
    </xf>
    <xf numFmtId="0" fontId="69" fillId="4" borderId="0" xfId="0" applyFont="1" applyFill="1" applyBorder="1" applyAlignment="1" applyProtection="1">
      <alignment horizontal="center" vertical="center"/>
      <protection hidden="1"/>
    </xf>
    <xf numFmtId="0" fontId="71" fillId="12" borderId="187" xfId="0" applyFont="1" applyFill="1" applyBorder="1" applyAlignment="1">
      <alignment horizontal="left" vertical="center"/>
    </xf>
    <xf numFmtId="0" fontId="71" fillId="12" borderId="156" xfId="0" applyFont="1" applyFill="1" applyBorder="1" applyAlignment="1">
      <alignment horizontal="left" vertical="center"/>
    </xf>
    <xf numFmtId="0" fontId="71" fillId="12" borderId="188" xfId="0" applyFont="1" applyFill="1" applyBorder="1" applyAlignment="1">
      <alignment horizontal="left" vertical="center"/>
    </xf>
    <xf numFmtId="0" fontId="71" fillId="12" borderId="189" xfId="0" applyFont="1" applyFill="1" applyBorder="1" applyAlignment="1">
      <alignment horizontal="left" vertical="center"/>
    </xf>
    <xf numFmtId="0" fontId="71" fillId="12" borderId="190" xfId="0" applyFont="1" applyFill="1" applyBorder="1" applyAlignment="1">
      <alignment horizontal="left" vertical="center"/>
    </xf>
    <xf numFmtId="0" fontId="71" fillId="12" borderId="191" xfId="0" applyFont="1" applyFill="1" applyBorder="1" applyAlignment="1">
      <alignment horizontal="left" vertical="center"/>
    </xf>
    <xf numFmtId="0" fontId="71" fillId="12" borderId="135" xfId="0" applyFont="1" applyFill="1" applyBorder="1" applyAlignment="1">
      <alignment horizontal="left" vertical="center"/>
    </xf>
    <xf numFmtId="0" fontId="71" fillId="12" borderId="192" xfId="0" applyFont="1" applyFill="1" applyBorder="1" applyAlignment="1">
      <alignment horizontal="left" vertical="center"/>
    </xf>
    <xf numFmtId="0" fontId="71" fillId="12" borderId="0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26" fillId="12" borderId="0" xfId="1" applyFont="1" applyFill="1" applyBorder="1" applyAlignment="1" applyProtection="1">
      <alignment horizontal="center" vertical="center"/>
    </xf>
    <xf numFmtId="180" fontId="3" fillId="3" borderId="33" xfId="0" applyNumberFormat="1" applyFont="1" applyFill="1" applyBorder="1" applyAlignment="1" applyProtection="1">
      <alignment horizontal="center" vertical="center"/>
      <protection locked="0"/>
    </xf>
    <xf numFmtId="0" fontId="77" fillId="12" borderId="0" xfId="0" applyFont="1" applyFill="1" applyBorder="1" applyAlignment="1">
      <alignment horizontal="left" vertical="center"/>
    </xf>
    <xf numFmtId="0" fontId="80" fillId="0" borderId="0" xfId="3" applyFont="1" applyFill="1" applyBorder="1" applyAlignment="1">
      <alignment horizontal="center" vertical="center" wrapText="1"/>
    </xf>
    <xf numFmtId="0" fontId="80" fillId="0" borderId="0" xfId="3" applyNumberFormat="1" applyFont="1" applyFill="1" applyBorder="1" applyAlignment="1">
      <alignment horizontal="center" vertical="center" wrapText="1"/>
    </xf>
    <xf numFmtId="0" fontId="80" fillId="0" borderId="250" xfId="3" applyFont="1" applyFill="1" applyBorder="1" applyAlignment="1">
      <alignment horizontal="center" vertical="center" wrapText="1"/>
    </xf>
    <xf numFmtId="0" fontId="83" fillId="16" borderId="160" xfId="3" applyNumberFormat="1" applyFont="1" applyFill="1" applyBorder="1" applyAlignment="1">
      <alignment horizontal="center" vertical="center" wrapText="1"/>
    </xf>
    <xf numFmtId="0" fontId="83" fillId="0" borderId="0" xfId="4" applyFont="1" applyFill="1" applyAlignment="1">
      <alignment horizontal="center"/>
    </xf>
    <xf numFmtId="10" fontId="81" fillId="16" borderId="160" xfId="3" applyNumberFormat="1" applyFont="1" applyFill="1" applyBorder="1" applyAlignment="1">
      <alignment horizontal="center" vertical="center" wrapText="1"/>
    </xf>
    <xf numFmtId="0" fontId="81" fillId="16" borderId="160" xfId="3" applyNumberFormat="1" applyFont="1" applyFill="1" applyBorder="1" applyAlignment="1">
      <alignment horizontal="center" vertical="center" wrapText="1"/>
    </xf>
    <xf numFmtId="0" fontId="83" fillId="0" borderId="160" xfId="4" applyFont="1" applyFill="1" applyBorder="1" applyAlignment="1">
      <alignment horizontal="center" vertical="center"/>
    </xf>
    <xf numFmtId="178" fontId="83" fillId="18" borderId="160" xfId="5" applyFont="1" applyFill="1" applyBorder="1" applyAlignment="1">
      <alignment horizontal="center" vertical="center"/>
    </xf>
    <xf numFmtId="10" fontId="85" fillId="19" borderId="160" xfId="4" applyNumberFormat="1" applyFont="1" applyFill="1" applyBorder="1" applyAlignment="1">
      <alignment horizontal="center" vertical="center" wrapText="1"/>
    </xf>
    <xf numFmtId="178" fontId="83" fillId="19" borderId="160" xfId="5" applyFont="1" applyFill="1" applyBorder="1" applyAlignment="1">
      <alignment horizontal="center" vertical="center"/>
    </xf>
    <xf numFmtId="10" fontId="85" fillId="20" borderId="160" xfId="4" applyNumberFormat="1" applyFont="1" applyFill="1" applyBorder="1" applyAlignment="1">
      <alignment horizontal="center" vertical="center" wrapText="1"/>
    </xf>
    <xf numFmtId="178" fontId="83" fillId="20" borderId="160" xfId="5" applyFont="1" applyFill="1" applyBorder="1" applyAlignment="1">
      <alignment horizontal="center" vertical="center"/>
    </xf>
    <xf numFmtId="178" fontId="83" fillId="21" borderId="160" xfId="5" applyFont="1" applyFill="1" applyBorder="1" applyAlignment="1">
      <alignment horizontal="center" vertical="center"/>
    </xf>
    <xf numFmtId="10" fontId="85" fillId="22" borderId="160" xfId="4" applyNumberFormat="1" applyFont="1" applyFill="1" applyBorder="1" applyAlignment="1">
      <alignment horizontal="center" vertical="center" wrapText="1"/>
    </xf>
    <xf numFmtId="0" fontId="83" fillId="22" borderId="160" xfId="4" applyNumberFormat="1" applyFont="1" applyFill="1" applyBorder="1" applyAlignment="1">
      <alignment horizontal="center" vertical="center"/>
    </xf>
    <xf numFmtId="178" fontId="83" fillId="22" borderId="160" xfId="5" applyFont="1" applyFill="1" applyBorder="1" applyAlignment="1">
      <alignment horizontal="center" vertical="center"/>
    </xf>
    <xf numFmtId="10" fontId="85" fillId="23" borderId="160" xfId="4" applyNumberFormat="1" applyFont="1" applyFill="1" applyBorder="1" applyAlignment="1">
      <alignment horizontal="center" vertical="center" wrapText="1"/>
    </xf>
    <xf numFmtId="178" fontId="83" fillId="23" borderId="160" xfId="5" applyFont="1" applyFill="1" applyBorder="1" applyAlignment="1">
      <alignment horizontal="center" vertical="center"/>
    </xf>
    <xf numFmtId="10" fontId="85" fillId="24" borderId="160" xfId="4" applyNumberFormat="1" applyFont="1" applyFill="1" applyBorder="1" applyAlignment="1">
      <alignment horizontal="center" vertical="center" wrapText="1"/>
    </xf>
    <xf numFmtId="178" fontId="83" fillId="24" borderId="160" xfId="5" applyFont="1" applyFill="1" applyBorder="1" applyAlignment="1">
      <alignment horizontal="center" vertical="center"/>
    </xf>
    <xf numFmtId="178" fontId="83" fillId="25" borderId="160" xfId="5" applyFont="1" applyFill="1" applyBorder="1" applyAlignment="1">
      <alignment horizontal="center" vertical="center"/>
    </xf>
    <xf numFmtId="0" fontId="83" fillId="0" borderId="0" xfId="4" applyFont="1" applyFill="1" applyAlignment="1">
      <alignment horizontal="center" vertical="center"/>
    </xf>
    <xf numFmtId="10" fontId="83" fillId="23" borderId="160" xfId="4" applyNumberFormat="1" applyFont="1" applyFill="1" applyBorder="1" applyAlignment="1">
      <alignment horizontal="center" vertical="center"/>
    </xf>
    <xf numFmtId="0" fontId="83" fillId="24" borderId="160" xfId="4" applyNumberFormat="1" applyFont="1" applyFill="1" applyBorder="1" applyAlignment="1">
      <alignment horizontal="center" vertical="center"/>
    </xf>
    <xf numFmtId="10" fontId="83" fillId="19" borderId="160" xfId="4" applyNumberFormat="1" applyFont="1" applyFill="1" applyBorder="1" applyAlignment="1">
      <alignment horizontal="center" vertical="center"/>
    </xf>
    <xf numFmtId="10" fontId="83" fillId="20" borderId="160" xfId="4" applyNumberFormat="1" applyFont="1" applyFill="1" applyBorder="1" applyAlignment="1">
      <alignment horizontal="center" vertical="center"/>
    </xf>
    <xf numFmtId="10" fontId="83" fillId="22" borderId="160" xfId="4" applyNumberFormat="1" applyFont="1" applyFill="1" applyBorder="1" applyAlignment="1">
      <alignment horizontal="center" vertical="center"/>
    </xf>
    <xf numFmtId="10" fontId="83" fillId="24" borderId="160" xfId="4" applyNumberFormat="1" applyFont="1" applyFill="1" applyBorder="1" applyAlignment="1">
      <alignment horizontal="center" vertical="center"/>
    </xf>
    <xf numFmtId="0" fontId="83" fillId="23" borderId="160" xfId="5" applyNumberFormat="1" applyFont="1" applyFill="1" applyBorder="1" applyAlignment="1">
      <alignment horizontal="center" vertical="center"/>
    </xf>
    <xf numFmtId="0" fontId="81" fillId="20" borderId="160" xfId="4" applyFont="1" applyFill="1" applyBorder="1" applyAlignment="1">
      <alignment horizontal="center" vertical="center"/>
    </xf>
    <xf numFmtId="49" fontId="83" fillId="0" borderId="160" xfId="4" applyNumberFormat="1" applyFont="1" applyFill="1" applyBorder="1" applyAlignment="1">
      <alignment horizontal="center" vertical="center"/>
    </xf>
    <xf numFmtId="178" fontId="83" fillId="0" borderId="160" xfId="5" applyFont="1" applyFill="1" applyBorder="1" applyAlignment="1">
      <alignment horizontal="center" vertical="center"/>
    </xf>
    <xf numFmtId="0" fontId="83" fillId="0" borderId="160" xfId="4" applyNumberFormat="1" applyFont="1" applyFill="1" applyBorder="1" applyAlignment="1">
      <alignment horizontal="center" vertical="center"/>
    </xf>
    <xf numFmtId="0" fontId="83" fillId="21" borderId="160" xfId="5" applyNumberFormat="1" applyFont="1" applyFill="1" applyBorder="1" applyAlignment="1">
      <alignment horizontal="center" vertical="center"/>
    </xf>
    <xf numFmtId="0" fontId="83" fillId="20" borderId="160" xfId="4" applyNumberFormat="1" applyFont="1" applyFill="1" applyBorder="1" applyAlignment="1">
      <alignment horizontal="center" vertical="center"/>
    </xf>
    <xf numFmtId="0" fontId="83" fillId="0" borderId="160" xfId="4" applyFont="1" applyFill="1" applyBorder="1" applyAlignment="1">
      <alignment horizontal="center" vertical="center" wrapText="1"/>
    </xf>
    <xf numFmtId="10" fontId="83" fillId="24" borderId="160" xfId="6" applyNumberFormat="1" applyFont="1" applyFill="1" applyBorder="1" applyAlignment="1">
      <alignment horizontal="center" vertical="center"/>
    </xf>
    <xf numFmtId="196" fontId="83" fillId="24" borderId="160" xfId="5" applyNumberFormat="1" applyFont="1" applyFill="1" applyBorder="1" applyAlignment="1">
      <alignment horizontal="center" vertical="center"/>
    </xf>
    <xf numFmtId="0" fontId="83" fillId="21" borderId="160" xfId="4" applyFont="1" applyFill="1" applyBorder="1" applyAlignment="1">
      <alignment horizontal="center" vertical="center"/>
    </xf>
    <xf numFmtId="10" fontId="83" fillId="22" borderId="160" xfId="5" applyNumberFormat="1" applyFont="1" applyFill="1" applyBorder="1" applyAlignment="1">
      <alignment horizontal="center" vertical="center"/>
    </xf>
    <xf numFmtId="10" fontId="86" fillId="19" borderId="160" xfId="4" applyNumberFormat="1" applyFont="1" applyFill="1" applyBorder="1" applyAlignment="1">
      <alignment horizontal="center" vertical="center"/>
    </xf>
    <xf numFmtId="9" fontId="83" fillId="21" borderId="160" xfId="6" applyFont="1" applyFill="1" applyBorder="1" applyAlignment="1">
      <alignment horizontal="center" vertical="center"/>
    </xf>
    <xf numFmtId="0" fontId="83" fillId="18" borderId="160" xfId="4" applyNumberFormat="1" applyFont="1" applyFill="1" applyBorder="1" applyAlignment="1">
      <alignment horizontal="center" vertical="center"/>
    </xf>
    <xf numFmtId="0" fontId="83" fillId="21" borderId="160" xfId="4" applyNumberFormat="1" applyFont="1" applyFill="1" applyBorder="1" applyAlignment="1">
      <alignment horizontal="center" vertical="center"/>
    </xf>
    <xf numFmtId="0" fontId="83" fillId="28" borderId="251" xfId="4" applyFont="1" applyFill="1" applyBorder="1" applyAlignment="1">
      <alignment horizontal="center" vertical="center"/>
    </xf>
    <xf numFmtId="0" fontId="83" fillId="0" borderId="251" xfId="4" applyFont="1" applyFill="1" applyBorder="1" applyAlignment="1">
      <alignment horizontal="center" vertical="center"/>
    </xf>
    <xf numFmtId="49" fontId="83" fillId="0" borderId="251" xfId="4" applyNumberFormat="1" applyFont="1" applyFill="1" applyBorder="1" applyAlignment="1">
      <alignment horizontal="center" vertical="center"/>
    </xf>
    <xf numFmtId="178" fontId="83" fillId="0" borderId="251" xfId="5" applyFont="1" applyFill="1" applyBorder="1" applyAlignment="1">
      <alignment horizontal="center" vertical="center"/>
    </xf>
    <xf numFmtId="178" fontId="83" fillId="18" borderId="251" xfId="5" applyFont="1" applyFill="1" applyBorder="1" applyAlignment="1">
      <alignment horizontal="center" vertical="center"/>
    </xf>
    <xf numFmtId="10" fontId="83" fillId="19" borderId="251" xfId="4" applyNumberFormat="1" applyFont="1" applyFill="1" applyBorder="1" applyAlignment="1">
      <alignment horizontal="center" vertical="center"/>
    </xf>
    <xf numFmtId="178" fontId="83" fillId="19" borderId="251" xfId="5" applyFont="1" applyFill="1" applyBorder="1" applyAlignment="1">
      <alignment horizontal="center" vertical="center"/>
    </xf>
    <xf numFmtId="10" fontId="83" fillId="20" borderId="251" xfId="4" applyNumberFormat="1" applyFont="1" applyFill="1" applyBorder="1" applyAlignment="1">
      <alignment horizontal="center" vertical="center"/>
    </xf>
    <xf numFmtId="178" fontId="83" fillId="20" borderId="251" xfId="5" applyFont="1" applyFill="1" applyBorder="1" applyAlignment="1">
      <alignment horizontal="center" vertical="center"/>
    </xf>
    <xf numFmtId="0" fontId="83" fillId="21" borderId="251" xfId="4" applyNumberFormat="1" applyFont="1" applyFill="1" applyBorder="1" applyAlignment="1">
      <alignment horizontal="center" vertical="center"/>
    </xf>
    <xf numFmtId="10" fontId="83" fillId="22" borderId="251" xfId="4" applyNumberFormat="1" applyFont="1" applyFill="1" applyBorder="1" applyAlignment="1">
      <alignment horizontal="center" vertical="center"/>
    </xf>
    <xf numFmtId="178" fontId="83" fillId="22" borderId="251" xfId="5" applyFont="1" applyFill="1" applyBorder="1" applyAlignment="1">
      <alignment horizontal="center" vertical="center"/>
    </xf>
    <xf numFmtId="10" fontId="83" fillId="23" borderId="251" xfId="4" applyNumberFormat="1" applyFont="1" applyFill="1" applyBorder="1" applyAlignment="1">
      <alignment horizontal="center" vertical="center"/>
    </xf>
    <xf numFmtId="178" fontId="83" fillId="23" borderId="251" xfId="5" applyFont="1" applyFill="1" applyBorder="1" applyAlignment="1">
      <alignment horizontal="center" vertical="center"/>
    </xf>
    <xf numFmtId="10" fontId="83" fillId="24" borderId="251" xfId="4" applyNumberFormat="1" applyFont="1" applyFill="1" applyBorder="1" applyAlignment="1">
      <alignment horizontal="center" vertical="center"/>
    </xf>
    <xf numFmtId="178" fontId="83" fillId="24" borderId="251" xfId="5" applyFont="1" applyFill="1" applyBorder="1" applyAlignment="1">
      <alignment horizontal="center" vertical="center"/>
    </xf>
    <xf numFmtId="178" fontId="83" fillId="25" borderId="251" xfId="5" applyFont="1" applyFill="1" applyBorder="1" applyAlignment="1">
      <alignment horizontal="center" vertical="center"/>
    </xf>
    <xf numFmtId="0" fontId="83" fillId="2" borderId="251" xfId="4" applyNumberFormat="1" applyFont="1" applyFill="1" applyBorder="1" applyAlignment="1">
      <alignment horizontal="center" vertical="center"/>
    </xf>
    <xf numFmtId="178" fontId="83" fillId="28" borderId="160" xfId="5" applyFont="1" applyFill="1" applyBorder="1" applyAlignment="1">
      <alignment horizontal="center" vertical="center"/>
    </xf>
    <xf numFmtId="196" fontId="83" fillId="19" borderId="160" xfId="4" applyNumberFormat="1" applyFont="1" applyFill="1" applyBorder="1" applyAlignment="1">
      <alignment horizontal="center" vertical="center"/>
    </xf>
    <xf numFmtId="196" fontId="83" fillId="20" borderId="160" xfId="4" applyNumberFormat="1" applyFont="1" applyFill="1" applyBorder="1" applyAlignment="1">
      <alignment horizontal="center" vertical="center"/>
    </xf>
    <xf numFmtId="196" fontId="83" fillId="22" borderId="160" xfId="4" applyNumberFormat="1" applyFont="1" applyFill="1" applyBorder="1" applyAlignment="1">
      <alignment horizontal="center" vertical="center"/>
    </xf>
    <xf numFmtId="196" fontId="83" fillId="23" borderId="160" xfId="4" applyNumberFormat="1" applyFont="1" applyFill="1" applyBorder="1" applyAlignment="1">
      <alignment horizontal="center" vertical="center"/>
    </xf>
    <xf numFmtId="196" fontId="83" fillId="24" borderId="160" xfId="4" applyNumberFormat="1" applyFont="1" applyFill="1" applyBorder="1" applyAlignment="1">
      <alignment horizontal="center" vertical="center"/>
    </xf>
    <xf numFmtId="196" fontId="83" fillId="25" borderId="160" xfId="4" applyNumberFormat="1" applyFont="1" applyFill="1" applyBorder="1" applyAlignment="1">
      <alignment horizontal="center" vertical="center"/>
    </xf>
    <xf numFmtId="0" fontId="83" fillId="2" borderId="160" xfId="4" applyNumberFormat="1" applyFont="1" applyFill="1" applyBorder="1" applyAlignment="1">
      <alignment vertical="center"/>
    </xf>
    <xf numFmtId="0" fontId="83" fillId="19" borderId="160" xfId="4" applyNumberFormat="1" applyFont="1" applyFill="1" applyBorder="1" applyAlignment="1">
      <alignment horizontal="center" vertical="center"/>
    </xf>
    <xf numFmtId="0" fontId="83" fillId="23" borderId="160" xfId="4" applyNumberFormat="1" applyFont="1" applyFill="1" applyBorder="1" applyAlignment="1">
      <alignment horizontal="center" vertical="center"/>
    </xf>
    <xf numFmtId="0" fontId="83" fillId="25" borderId="160" xfId="4" applyNumberFormat="1" applyFont="1" applyFill="1" applyBorder="1" applyAlignment="1">
      <alignment horizontal="center" vertical="center"/>
    </xf>
    <xf numFmtId="49" fontId="83" fillId="0" borderId="0" xfId="4" applyNumberFormat="1" applyFont="1" applyFill="1" applyAlignment="1">
      <alignment horizontal="center" vertical="center"/>
    </xf>
    <xf numFmtId="0" fontId="83" fillId="0" borderId="0" xfId="4" applyNumberFormat="1" applyFont="1" applyFill="1" applyAlignment="1">
      <alignment horizontal="center" vertical="center"/>
    </xf>
    <xf numFmtId="10" fontId="83" fillId="0" borderId="0" xfId="4" applyNumberFormat="1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27" borderId="0" xfId="0" applyFont="1" applyFill="1">
      <alignment vertical="center"/>
    </xf>
    <xf numFmtId="9" fontId="83" fillId="24" borderId="160" xfId="4" applyNumberFormat="1" applyFont="1" applyFill="1" applyBorder="1" applyAlignment="1">
      <alignment horizontal="center" vertical="center"/>
    </xf>
    <xf numFmtId="0" fontId="87" fillId="29" borderId="257" xfId="7" applyFont="1" applyFill="1" applyBorder="1" applyAlignment="1">
      <alignment horizontal="center" vertical="center" wrapText="1"/>
    </xf>
    <xf numFmtId="0" fontId="87" fillId="29" borderId="258" xfId="7" applyFont="1" applyFill="1" applyBorder="1" applyAlignment="1">
      <alignment horizontal="center" vertical="center" wrapText="1"/>
    </xf>
    <xf numFmtId="195" fontId="87" fillId="29" borderId="258" xfId="7" applyNumberFormat="1" applyFont="1" applyFill="1" applyBorder="1" applyAlignment="1">
      <alignment horizontal="center" vertical="center" wrapText="1"/>
    </xf>
    <xf numFmtId="0" fontId="87" fillId="29" borderId="259" xfId="7" applyFont="1" applyFill="1" applyBorder="1" applyAlignment="1">
      <alignment horizontal="center" vertical="center" wrapText="1"/>
    </xf>
    <xf numFmtId="0" fontId="2" fillId="0" borderId="0" xfId="7"/>
    <xf numFmtId="0" fontId="10" fillId="6" borderId="160" xfId="7" applyFont="1" applyFill="1" applyBorder="1" applyAlignment="1">
      <alignment horizontal="center" vertical="center" wrapText="1"/>
    </xf>
    <xf numFmtId="195" fontId="10" fillId="6" borderId="160" xfId="7" applyNumberFormat="1" applyFont="1" applyFill="1" applyBorder="1" applyAlignment="1">
      <alignment horizontal="center" vertical="center" wrapText="1"/>
    </xf>
    <xf numFmtId="0" fontId="10" fillId="6" borderId="164" xfId="8" applyFont="1" applyFill="1" applyBorder="1" applyAlignment="1">
      <alignment horizontal="center" vertical="center" wrapText="1"/>
    </xf>
    <xf numFmtId="195" fontId="10" fillId="6" borderId="160" xfId="8" applyNumberFormat="1" applyFont="1" applyFill="1" applyBorder="1" applyAlignment="1">
      <alignment horizontal="center" vertical="center" wrapText="1"/>
    </xf>
    <xf numFmtId="0" fontId="10" fillId="6" borderId="160" xfId="8" applyFont="1" applyFill="1" applyBorder="1" applyAlignment="1">
      <alignment horizontal="center" vertical="center" wrapText="1"/>
    </xf>
    <xf numFmtId="0" fontId="10" fillId="6" borderId="164" xfId="7" applyFont="1" applyFill="1" applyBorder="1" applyAlignment="1">
      <alignment horizontal="center" vertical="center" wrapText="1"/>
    </xf>
    <xf numFmtId="0" fontId="10" fillId="6" borderId="251" xfId="7" applyFont="1" applyFill="1" applyBorder="1" applyAlignment="1">
      <alignment horizontal="center" vertical="center" wrapText="1"/>
    </xf>
    <xf numFmtId="0" fontId="10" fillId="31" borderId="160" xfId="7" applyFont="1" applyFill="1" applyBorder="1" applyAlignment="1">
      <alignment horizontal="center" vertical="center" wrapText="1"/>
    </xf>
    <xf numFmtId="195" fontId="10" fillId="31" borderId="160" xfId="7" applyNumberFormat="1" applyFont="1" applyFill="1" applyBorder="1" applyAlignment="1">
      <alignment horizontal="center" vertical="center" wrapText="1"/>
    </xf>
    <xf numFmtId="0" fontId="10" fillId="31" borderId="164" xfId="7" applyFont="1" applyFill="1" applyBorder="1" applyAlignment="1">
      <alignment horizontal="center" vertical="center" wrapText="1"/>
    </xf>
    <xf numFmtId="0" fontId="10" fillId="31" borderId="160" xfId="7" applyFont="1" applyFill="1" applyBorder="1" applyAlignment="1">
      <alignment vertical="center" wrapText="1"/>
    </xf>
    <xf numFmtId="0" fontId="10" fillId="32" borderId="160" xfId="7" applyFont="1" applyFill="1" applyBorder="1" applyAlignment="1">
      <alignment horizontal="center" vertical="center" wrapText="1"/>
    </xf>
    <xf numFmtId="195" fontId="10" fillId="32" borderId="160" xfId="7" applyNumberFormat="1" applyFont="1" applyFill="1" applyBorder="1" applyAlignment="1">
      <alignment horizontal="center" vertical="center" wrapText="1"/>
    </xf>
    <xf numFmtId="0" fontId="10" fillId="32" borderId="164" xfId="7" applyFont="1" applyFill="1" applyBorder="1" applyAlignment="1">
      <alignment horizontal="center" vertical="center" wrapText="1"/>
    </xf>
    <xf numFmtId="0" fontId="10" fillId="32" borderId="251" xfId="7" applyFont="1" applyFill="1" applyBorder="1" applyAlignment="1">
      <alignment horizontal="center" vertical="center" wrapText="1"/>
    </xf>
    <xf numFmtId="10" fontId="10" fillId="32" borderId="160" xfId="7" applyNumberFormat="1" applyFont="1" applyFill="1" applyBorder="1" applyAlignment="1">
      <alignment horizontal="center" vertical="center" wrapText="1"/>
    </xf>
    <xf numFmtId="0" fontId="10" fillId="8" borderId="160" xfId="7" applyFont="1" applyFill="1" applyBorder="1" applyAlignment="1">
      <alignment horizontal="center" vertical="center" wrapText="1"/>
    </xf>
    <xf numFmtId="195" fontId="10" fillId="8" borderId="160" xfId="7" applyNumberFormat="1" applyFont="1" applyFill="1" applyBorder="1" applyAlignment="1">
      <alignment horizontal="center" vertical="center" wrapText="1"/>
    </xf>
    <xf numFmtId="0" fontId="10" fillId="8" borderId="164" xfId="7" applyFont="1" applyFill="1" applyBorder="1" applyAlignment="1">
      <alignment horizontal="center" vertical="center" wrapText="1"/>
    </xf>
    <xf numFmtId="10" fontId="10" fillId="8" borderId="160" xfId="7" applyNumberFormat="1" applyFont="1" applyFill="1" applyBorder="1" applyAlignment="1">
      <alignment horizontal="center" vertical="center" wrapText="1"/>
    </xf>
    <xf numFmtId="0" fontId="10" fillId="8" borderId="164" xfId="8" applyFont="1" applyFill="1" applyBorder="1" applyAlignment="1">
      <alignment horizontal="center" vertical="center" wrapText="1"/>
    </xf>
    <xf numFmtId="195" fontId="10" fillId="8" borderId="160" xfId="8" applyNumberFormat="1" applyFont="1" applyFill="1" applyBorder="1" applyAlignment="1">
      <alignment horizontal="center" vertical="center" wrapText="1"/>
    </xf>
    <xf numFmtId="0" fontId="10" fillId="8" borderId="160" xfId="8" applyFont="1" applyFill="1" applyBorder="1" applyAlignment="1">
      <alignment horizontal="center" vertical="center" wrapText="1"/>
    </xf>
    <xf numFmtId="0" fontId="10" fillId="8" borderId="160" xfId="8" applyFont="1" applyFill="1" applyBorder="1" applyAlignment="1">
      <alignment vertical="center" wrapText="1"/>
    </xf>
    <xf numFmtId="195" fontId="10" fillId="8" borderId="262" xfId="7" applyNumberFormat="1" applyFont="1" applyFill="1" applyBorder="1" applyAlignment="1">
      <alignment horizontal="center" vertical="center" wrapText="1"/>
    </xf>
    <xf numFmtId="0" fontId="10" fillId="8" borderId="262" xfId="7" applyFont="1" applyFill="1" applyBorder="1" applyAlignment="1">
      <alignment horizontal="center" vertical="center" wrapText="1"/>
    </xf>
    <xf numFmtId="195" fontId="10" fillId="8" borderId="263" xfId="8" applyNumberFormat="1" applyFont="1" applyFill="1" applyBorder="1" applyAlignment="1">
      <alignment horizontal="center" vertical="center" wrapText="1"/>
    </xf>
    <xf numFmtId="0" fontId="2" fillId="0" borderId="0" xfId="7" applyFill="1" applyAlignment="1">
      <alignment vertical="center"/>
    </xf>
    <xf numFmtId="0" fontId="12" fillId="0" borderId="0" xfId="8" applyFont="1" applyFill="1" applyAlignment="1">
      <alignment horizontal="center" vertical="center" wrapText="1"/>
    </xf>
    <xf numFmtId="0" fontId="12" fillId="0" borderId="0" xfId="8" applyFont="1" applyFill="1" applyAlignment="1">
      <alignment horizontal="left" vertical="center" wrapText="1"/>
    </xf>
    <xf numFmtId="0" fontId="48" fillId="0" borderId="0" xfId="7" applyFont="1" applyFill="1" applyAlignment="1">
      <alignment horizontal="left" vertical="center" wrapText="1"/>
    </xf>
    <xf numFmtId="0" fontId="0" fillId="27" borderId="0" xfId="0" applyFill="1" applyAlignment="1">
      <alignment horizontal="left" vertical="center"/>
    </xf>
    <xf numFmtId="0" fontId="10" fillId="31" borderId="160" xfId="7" applyFont="1" applyFill="1" applyBorder="1" applyAlignment="1">
      <alignment horizontal="center" vertical="center" wrapText="1"/>
    </xf>
    <xf numFmtId="0" fontId="3" fillId="30" borderId="1" xfId="0" applyFont="1" applyFill="1" applyBorder="1" applyAlignment="1" applyProtection="1">
      <alignment horizontal="center" vertical="center"/>
      <protection locked="0"/>
    </xf>
    <xf numFmtId="0" fontId="17" fillId="30" borderId="1" xfId="0" applyFont="1" applyFill="1" applyBorder="1" applyAlignment="1" applyProtection="1">
      <alignment horizontal="center" vertical="center"/>
      <protection locked="0"/>
    </xf>
    <xf numFmtId="180" fontId="17" fillId="30" borderId="1" xfId="0" applyNumberFormat="1" applyFont="1" applyFill="1" applyBorder="1" applyAlignment="1" applyProtection="1">
      <alignment horizontal="center" vertical="center"/>
      <protection locked="0"/>
    </xf>
    <xf numFmtId="181" fontId="17" fillId="30" borderId="1" xfId="0" applyNumberFormat="1" applyFont="1" applyFill="1" applyBorder="1" applyAlignment="1" applyProtection="1">
      <alignment horizontal="center" vertical="center"/>
      <protection locked="0"/>
    </xf>
    <xf numFmtId="180" fontId="3" fillId="0" borderId="21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80" fontId="17" fillId="2" borderId="1" xfId="0" applyNumberFormat="1" applyFont="1" applyFill="1" applyBorder="1" applyAlignment="1" applyProtection="1">
      <alignment horizontal="center" vertical="center"/>
      <protection locked="0"/>
    </xf>
    <xf numFmtId="181" fontId="17" fillId="2" borderId="1" xfId="0" applyNumberFormat="1" applyFont="1" applyFill="1" applyBorder="1" applyAlignment="1" applyProtection="1">
      <alignment horizontal="center" vertical="center"/>
      <protection locked="0"/>
    </xf>
    <xf numFmtId="194" fontId="17" fillId="2" borderId="17" xfId="0" applyNumberFormat="1" applyFont="1" applyFill="1" applyBorder="1" applyAlignment="1" applyProtection="1">
      <alignment horizontal="center" vertical="center"/>
      <protection hidden="1"/>
    </xf>
    <xf numFmtId="182" fontId="17" fillId="2" borderId="1" xfId="0" applyNumberFormat="1" applyFont="1" applyFill="1" applyBorder="1" applyAlignment="1" applyProtection="1">
      <alignment horizontal="center" vertical="center"/>
      <protection hidden="1"/>
    </xf>
    <xf numFmtId="178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17" xfId="0" applyFont="1" applyFill="1" applyBorder="1" applyAlignment="1" applyProtection="1">
      <alignment horizontal="center" vertical="center"/>
      <protection locked="0"/>
    </xf>
    <xf numFmtId="181" fontId="17" fillId="2" borderId="17" xfId="0" applyNumberFormat="1" applyFont="1" applyFill="1" applyBorder="1" applyAlignment="1" applyProtection="1">
      <alignment horizontal="right" vertical="center"/>
      <protection hidden="1"/>
    </xf>
    <xf numFmtId="180" fontId="17" fillId="30" borderId="17" xfId="0" applyNumberFormat="1" applyFont="1" applyFill="1" applyBorder="1" applyAlignment="1" applyProtection="1">
      <alignment horizontal="center" vertical="center"/>
      <protection locked="0"/>
    </xf>
    <xf numFmtId="181" fontId="17" fillId="30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10" fillId="2" borderId="15" xfId="0" applyNumberFormat="1" applyFont="1" applyFill="1" applyBorder="1" applyAlignment="1" applyProtection="1">
      <alignment vertical="center"/>
      <protection locked="0"/>
    </xf>
    <xf numFmtId="49" fontId="3" fillId="2" borderId="27" xfId="0" applyNumberFormat="1" applyFont="1" applyFill="1" applyBorder="1" applyAlignment="1" applyProtection="1">
      <alignment vertical="center"/>
      <protection locked="0"/>
    </xf>
    <xf numFmtId="0" fontId="3" fillId="27" borderId="1" xfId="0" applyFont="1" applyFill="1" applyBorder="1" applyAlignment="1" applyProtection="1">
      <alignment horizontal="center" vertical="center"/>
      <protection locked="0"/>
    </xf>
    <xf numFmtId="49" fontId="48" fillId="6" borderId="22" xfId="0" applyNumberFormat="1" applyFont="1" applyFill="1" applyBorder="1" applyAlignment="1" applyProtection="1">
      <alignment horizontal="center" vertical="center"/>
      <protection locked="0"/>
    </xf>
    <xf numFmtId="49" fontId="48" fillId="6" borderId="22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 applyProtection="1">
      <alignment vertical="center"/>
      <protection locked="0"/>
    </xf>
    <xf numFmtId="49" fontId="17" fillId="2" borderId="264" xfId="0" applyNumberFormat="1" applyFont="1" applyFill="1" applyBorder="1" applyAlignment="1" applyProtection="1">
      <alignment vertical="center"/>
      <protection locked="0"/>
    </xf>
    <xf numFmtId="49" fontId="18" fillId="0" borderId="265" xfId="0" applyNumberFormat="1" applyFont="1" applyFill="1" applyBorder="1" applyAlignment="1" applyProtection="1">
      <alignment horizontal="center" vertical="center"/>
      <protection locked="0"/>
    </xf>
    <xf numFmtId="0" fontId="17" fillId="0" borderId="266" xfId="0" applyFont="1" applyFill="1" applyBorder="1" applyAlignment="1" applyProtection="1">
      <alignment horizontal="center" vertical="center"/>
      <protection locked="0"/>
    </xf>
    <xf numFmtId="0" fontId="20" fillId="0" borderId="266" xfId="0" applyFont="1" applyFill="1" applyBorder="1" applyAlignment="1" applyProtection="1">
      <alignment horizontal="center" vertical="center"/>
      <protection hidden="1"/>
    </xf>
    <xf numFmtId="180" fontId="21" fillId="0" borderId="266" xfId="0" applyNumberFormat="1" applyFont="1" applyFill="1" applyBorder="1" applyAlignment="1" applyProtection="1">
      <alignment horizontal="center" vertical="center"/>
      <protection hidden="1"/>
    </xf>
    <xf numFmtId="180" fontId="17" fillId="0" borderId="266" xfId="0" applyNumberFormat="1" applyFont="1" applyFill="1" applyBorder="1" applyAlignment="1" applyProtection="1">
      <alignment horizontal="center" vertical="center"/>
      <protection hidden="1"/>
    </xf>
    <xf numFmtId="180" fontId="17" fillId="0" borderId="267" xfId="0" applyNumberFormat="1" applyFont="1" applyFill="1" applyBorder="1" applyAlignment="1" applyProtection="1">
      <alignment horizontal="center" vertical="center"/>
      <protection locked="0"/>
    </xf>
    <xf numFmtId="180" fontId="17" fillId="0" borderId="266" xfId="0" applyNumberFormat="1" applyFont="1" applyFill="1" applyBorder="1" applyAlignment="1" applyProtection="1">
      <alignment horizontal="center" vertical="center"/>
      <protection locked="0"/>
    </xf>
    <xf numFmtId="49" fontId="17" fillId="0" borderId="268" xfId="0" applyNumberFormat="1" applyFont="1" applyFill="1" applyBorder="1" applyAlignment="1" applyProtection="1">
      <alignment horizontal="center" vertical="center"/>
      <protection locked="0"/>
    </xf>
    <xf numFmtId="180" fontId="17" fillId="0" borderId="269" xfId="0" applyNumberFormat="1" applyFont="1" applyFill="1" applyBorder="1" applyAlignment="1" applyProtection="1">
      <alignment horizontal="center" vertical="center"/>
      <protection locked="0"/>
    </xf>
    <xf numFmtId="180" fontId="21" fillId="0" borderId="17" xfId="0" applyNumberFormat="1" applyFont="1" applyFill="1" applyBorder="1" applyAlignment="1" applyProtection="1">
      <alignment horizontal="center" vertical="center"/>
      <protection hidden="1"/>
    </xf>
    <xf numFmtId="180" fontId="91" fillId="0" borderId="266" xfId="0" applyNumberFormat="1" applyFont="1" applyFill="1" applyBorder="1" applyAlignment="1" applyProtection="1">
      <alignment horizontal="center" vertical="center"/>
      <protection hidden="1"/>
    </xf>
    <xf numFmtId="178" fontId="75" fillId="14" borderId="193" xfId="1" applyNumberFormat="1" applyFont="1" applyFill="1" applyBorder="1" applyAlignment="1" applyProtection="1">
      <alignment horizontal="center" vertical="center" wrapText="1"/>
    </xf>
    <xf numFmtId="178" fontId="75" fillId="14" borderId="194" xfId="1" applyNumberFormat="1" applyFont="1" applyFill="1" applyBorder="1" applyAlignment="1" applyProtection="1">
      <alignment horizontal="center" vertical="center" wrapText="1"/>
    </xf>
    <xf numFmtId="178" fontId="73" fillId="14" borderId="193" xfId="1" applyNumberFormat="1" applyFont="1" applyFill="1" applyBorder="1" applyAlignment="1" applyProtection="1">
      <alignment horizontal="center" vertical="center" wrapText="1"/>
    </xf>
    <xf numFmtId="178" fontId="73" fillId="14" borderId="194" xfId="1" applyNumberFormat="1" applyFont="1" applyFill="1" applyBorder="1" applyAlignment="1" applyProtection="1">
      <alignment horizontal="center" vertical="center" wrapText="1"/>
    </xf>
    <xf numFmtId="178" fontId="76" fillId="14" borderId="193" xfId="1" applyNumberFormat="1" applyFont="1" applyFill="1" applyBorder="1" applyAlignment="1" applyProtection="1">
      <alignment horizontal="center" vertical="center" wrapText="1"/>
    </xf>
    <xf numFmtId="178" fontId="76" fillId="14" borderId="194" xfId="1" applyNumberFormat="1" applyFont="1" applyFill="1" applyBorder="1" applyAlignment="1" applyProtection="1">
      <alignment horizontal="center" vertical="center" wrapText="1"/>
    </xf>
    <xf numFmtId="180" fontId="3" fillId="3" borderId="195" xfId="0" applyNumberFormat="1" applyFont="1" applyFill="1" applyBorder="1" applyAlignment="1" applyProtection="1">
      <alignment horizontal="center" vertical="center"/>
      <protection locked="0"/>
    </xf>
    <xf numFmtId="180" fontId="3" fillId="3" borderId="33" xfId="0" applyNumberFormat="1" applyFont="1" applyFill="1" applyBorder="1" applyAlignment="1" applyProtection="1">
      <alignment horizontal="center" vertical="center"/>
      <protection locked="0"/>
    </xf>
    <xf numFmtId="40" fontId="31" fillId="15" borderId="196" xfId="0" applyNumberFormat="1" applyFont="1" applyFill="1" applyBorder="1" applyAlignment="1" applyProtection="1">
      <alignment horizontal="center" vertical="center"/>
    </xf>
    <xf numFmtId="40" fontId="31" fillId="15" borderId="0" xfId="0" applyNumberFormat="1" applyFont="1" applyFill="1" applyAlignment="1" applyProtection="1">
      <alignment horizontal="center" vertical="center"/>
    </xf>
    <xf numFmtId="0" fontId="37" fillId="2" borderId="0" xfId="0" applyFont="1" applyFill="1" applyAlignment="1" applyProtection="1">
      <alignment horizontal="center" vertical="center"/>
      <protection hidden="1"/>
    </xf>
    <xf numFmtId="10" fontId="37" fillId="2" borderId="0" xfId="0" applyNumberFormat="1" applyFont="1" applyFill="1" applyAlignment="1" applyProtection="1">
      <alignment horizontal="center" vertical="center"/>
      <protection hidden="1"/>
    </xf>
    <xf numFmtId="9" fontId="47" fillId="0" borderId="214" xfId="0" applyNumberFormat="1" applyFont="1" applyBorder="1" applyAlignment="1" applyProtection="1">
      <alignment horizontal="center" vertical="center" textRotation="151"/>
      <protection hidden="1"/>
    </xf>
    <xf numFmtId="9" fontId="47" fillId="0" borderId="215" xfId="0" applyNumberFormat="1" applyFont="1" applyBorder="1" applyAlignment="1" applyProtection="1">
      <alignment horizontal="center" vertical="center" textRotation="151"/>
      <protection hidden="1"/>
    </xf>
    <xf numFmtId="0" fontId="37" fillId="2" borderId="220" xfId="0" applyFont="1" applyFill="1" applyBorder="1" applyAlignment="1" applyProtection="1">
      <alignment horizontal="center" vertical="center"/>
      <protection hidden="1"/>
    </xf>
    <xf numFmtId="9" fontId="47" fillId="0" borderId="218" xfId="0" applyNumberFormat="1" applyFont="1" applyBorder="1" applyAlignment="1" applyProtection="1">
      <alignment horizontal="center" vertical="center" textRotation="151"/>
      <protection hidden="1"/>
    </xf>
    <xf numFmtId="9" fontId="47" fillId="0" borderId="219" xfId="0" applyNumberFormat="1" applyFont="1" applyBorder="1" applyAlignment="1" applyProtection="1">
      <alignment horizontal="center" vertical="center" textRotation="151"/>
      <protection hidden="1"/>
    </xf>
    <xf numFmtId="0" fontId="10" fillId="0" borderId="213" xfId="0" applyFont="1" applyBorder="1" applyAlignment="1" applyProtection="1">
      <alignment horizontal="center" vertical="center" textRotation="255"/>
      <protection hidden="1"/>
    </xf>
    <xf numFmtId="0" fontId="11" fillId="0" borderId="214" xfId="0" applyFont="1" applyBorder="1" applyAlignment="1" applyProtection="1">
      <alignment horizontal="center" vertical="center" wrapText="1"/>
      <protection hidden="1"/>
    </xf>
    <xf numFmtId="0" fontId="11" fillId="0" borderId="215" xfId="0" applyFont="1" applyBorder="1" applyAlignment="1" applyProtection="1">
      <alignment horizontal="center" vertical="center" wrapText="1"/>
      <protection hidden="1"/>
    </xf>
    <xf numFmtId="9" fontId="47" fillId="0" borderId="216" xfId="0" applyNumberFormat="1" applyFont="1" applyBorder="1" applyAlignment="1" applyProtection="1">
      <alignment horizontal="center" vertical="center" textRotation="151"/>
      <protection hidden="1"/>
    </xf>
    <xf numFmtId="9" fontId="47" fillId="0" borderId="217" xfId="0" applyNumberFormat="1" applyFont="1" applyBorder="1" applyAlignment="1" applyProtection="1">
      <alignment horizontal="center" vertical="center" textRotation="151"/>
      <protection hidden="1"/>
    </xf>
    <xf numFmtId="0" fontId="10" fillId="0" borderId="209" xfId="0" applyFont="1" applyBorder="1" applyAlignment="1" applyProtection="1">
      <alignment horizontal="center" vertical="center"/>
      <protection hidden="1"/>
    </xf>
    <xf numFmtId="0" fontId="10" fillId="0" borderId="204" xfId="0" applyFont="1" applyBorder="1" applyAlignment="1" applyProtection="1">
      <alignment horizontal="center" vertical="center"/>
      <protection hidden="1"/>
    </xf>
    <xf numFmtId="0" fontId="10" fillId="0" borderId="210" xfId="0" applyFont="1" applyBorder="1" applyAlignment="1" applyProtection="1">
      <alignment horizontal="center" vertical="center"/>
      <protection locked="0"/>
    </xf>
    <xf numFmtId="0" fontId="10" fillId="0" borderId="206" xfId="0" applyFont="1" applyBorder="1" applyAlignment="1" applyProtection="1">
      <alignment horizontal="center" vertical="center"/>
      <protection locked="0"/>
    </xf>
    <xf numFmtId="185" fontId="10" fillId="0" borderId="103" xfId="0" applyNumberFormat="1" applyFont="1" applyBorder="1" applyAlignment="1" applyProtection="1">
      <alignment horizontal="center" vertical="center"/>
      <protection hidden="1"/>
    </xf>
    <xf numFmtId="185" fontId="10" fillId="0" borderId="74" xfId="0" applyNumberFormat="1" applyFont="1" applyBorder="1" applyAlignment="1" applyProtection="1">
      <alignment horizontal="center" vertical="center"/>
      <protection hidden="1"/>
    </xf>
    <xf numFmtId="185" fontId="10" fillId="0" borderId="211" xfId="0" applyNumberFormat="1" applyFont="1" applyBorder="1" applyAlignment="1" applyProtection="1">
      <alignment horizontal="center" vertical="center"/>
      <protection hidden="1"/>
    </xf>
    <xf numFmtId="185" fontId="10" fillId="0" borderId="208" xfId="0" applyNumberFormat="1" applyFont="1" applyBorder="1" applyAlignment="1" applyProtection="1">
      <alignment horizontal="center" vertical="center"/>
      <protection hidden="1"/>
    </xf>
    <xf numFmtId="10" fontId="10" fillId="0" borderId="212" xfId="0" applyNumberFormat="1" applyFont="1" applyBorder="1" applyAlignment="1" applyProtection="1">
      <alignment horizontal="center" vertical="center"/>
      <protection hidden="1"/>
    </xf>
    <xf numFmtId="10" fontId="10" fillId="0" borderId="57" xfId="0" applyNumberFormat="1" applyFont="1" applyBorder="1" applyAlignment="1" applyProtection="1">
      <alignment horizontal="center" vertical="center"/>
      <protection hidden="1"/>
    </xf>
    <xf numFmtId="0" fontId="44" fillId="0" borderId="0" xfId="0" applyFont="1" applyAlignment="1">
      <alignment horizontal="left" wrapText="1"/>
    </xf>
    <xf numFmtId="0" fontId="38" fillId="0" borderId="201" xfId="0" applyFont="1" applyBorder="1" applyAlignment="1" applyProtection="1">
      <alignment horizontal="center" vertical="center"/>
      <protection hidden="1"/>
    </xf>
    <xf numFmtId="0" fontId="38" fillId="0" borderId="138" xfId="0" applyFont="1" applyBorder="1" applyAlignment="1" applyProtection="1">
      <alignment horizontal="center" vertical="center"/>
      <protection hidden="1"/>
    </xf>
    <xf numFmtId="0" fontId="38" fillId="0" borderId="201" xfId="0" applyFont="1" applyBorder="1" applyAlignment="1" applyProtection="1">
      <alignment horizontal="center" vertical="center" wrapText="1"/>
      <protection hidden="1"/>
    </xf>
    <xf numFmtId="0" fontId="38" fillId="0" borderId="138" xfId="0" applyFont="1" applyBorder="1" applyAlignment="1" applyProtection="1">
      <alignment horizontal="center" vertical="center" wrapText="1"/>
      <protection hidden="1"/>
    </xf>
    <xf numFmtId="0" fontId="38" fillId="0" borderId="202" xfId="0" applyFont="1" applyBorder="1" applyAlignment="1" applyProtection="1">
      <alignment horizontal="center" vertical="center" wrapText="1"/>
      <protection hidden="1"/>
    </xf>
    <xf numFmtId="0" fontId="38" fillId="0" borderId="139" xfId="0" applyFont="1" applyBorder="1" applyAlignment="1" applyProtection="1">
      <alignment horizontal="center" vertical="center" wrapText="1"/>
      <protection hidden="1"/>
    </xf>
    <xf numFmtId="0" fontId="10" fillId="0" borderId="203" xfId="0" applyFont="1" applyBorder="1" applyAlignment="1" applyProtection="1">
      <alignment horizontal="center" vertical="center"/>
      <protection hidden="1"/>
    </xf>
    <xf numFmtId="0" fontId="10" fillId="0" borderId="205" xfId="0" applyFont="1" applyBorder="1" applyAlignment="1" applyProtection="1">
      <alignment horizontal="center" vertical="center"/>
      <protection locked="0"/>
    </xf>
    <xf numFmtId="185" fontId="10" fillId="0" borderId="207" xfId="0" applyNumberFormat="1" applyFont="1" applyBorder="1" applyAlignment="1" applyProtection="1">
      <alignment horizontal="center" vertical="center"/>
      <protection hidden="1"/>
    </xf>
    <xf numFmtId="185" fontId="10" fillId="0" borderId="138" xfId="0" applyNumberFormat="1" applyFont="1" applyBorder="1" applyAlignment="1" applyProtection="1">
      <alignment horizontal="center" vertical="center"/>
      <protection hidden="1"/>
    </xf>
    <xf numFmtId="10" fontId="10" fillId="0" borderId="139" xfId="0" applyNumberFormat="1" applyFont="1" applyBorder="1" applyAlignment="1" applyProtection="1">
      <alignment horizontal="center" vertical="center"/>
      <protection hidden="1"/>
    </xf>
    <xf numFmtId="183" fontId="32" fillId="2" borderId="0" xfId="0" applyNumberFormat="1" applyFont="1" applyFill="1" applyBorder="1" applyAlignment="1" applyProtection="1">
      <alignment horizontal="center" vertical="center"/>
      <protection hidden="1"/>
    </xf>
    <xf numFmtId="0" fontId="36" fillId="11" borderId="197" xfId="0" applyFont="1" applyFill="1" applyBorder="1" applyAlignment="1">
      <alignment horizontal="center" vertical="center"/>
    </xf>
    <xf numFmtId="0" fontId="36" fillId="11" borderId="198" xfId="0" applyFont="1" applyFill="1" applyBorder="1" applyAlignment="1">
      <alignment horizontal="center" vertical="center"/>
    </xf>
    <xf numFmtId="0" fontId="36" fillId="11" borderId="0" xfId="0" applyFont="1" applyFill="1" applyBorder="1" applyAlignment="1" applyProtection="1">
      <alignment horizontal="center" vertical="center"/>
      <protection hidden="1"/>
    </xf>
    <xf numFmtId="0" fontId="38" fillId="0" borderId="199" xfId="0" applyFont="1" applyBorder="1" applyAlignment="1" applyProtection="1">
      <alignment horizontal="center" vertical="center"/>
      <protection hidden="1"/>
    </xf>
    <xf numFmtId="0" fontId="38" fillId="0" borderId="200" xfId="0" applyFont="1" applyBorder="1" applyAlignment="1" applyProtection="1">
      <alignment horizontal="center" vertical="center"/>
      <protection hidden="1"/>
    </xf>
    <xf numFmtId="0" fontId="66" fillId="2" borderId="0" xfId="0" applyFont="1" applyFill="1" applyBorder="1" applyAlignment="1">
      <alignment horizontal="center" vertical="center"/>
    </xf>
    <xf numFmtId="0" fontId="62" fillId="2" borderId="123" xfId="0" applyFont="1" applyFill="1" applyBorder="1" applyAlignment="1">
      <alignment horizontal="left"/>
    </xf>
    <xf numFmtId="0" fontId="62" fillId="2" borderId="124" xfId="0" applyFont="1" applyFill="1" applyBorder="1" applyAlignment="1">
      <alignment horizontal="left"/>
    </xf>
    <xf numFmtId="0" fontId="62" fillId="2" borderId="129" xfId="0" applyFont="1" applyFill="1" applyBorder="1" applyAlignment="1">
      <alignment horizontal="left"/>
    </xf>
    <xf numFmtId="0" fontId="65" fillId="2" borderId="236" xfId="0" applyFont="1" applyFill="1" applyBorder="1" applyAlignment="1">
      <alignment horizontal="center" vertical="center"/>
    </xf>
    <xf numFmtId="0" fontId="65" fillId="2" borderId="133" xfId="0" applyFont="1" applyFill="1" applyBorder="1" applyAlignment="1">
      <alignment horizontal="center" vertical="center"/>
    </xf>
    <xf numFmtId="0" fontId="65" fillId="2" borderId="237" xfId="0" applyFont="1" applyFill="1" applyBorder="1" applyAlignment="1">
      <alignment horizontal="center" vertical="center"/>
    </xf>
    <xf numFmtId="0" fontId="62" fillId="2" borderId="233" xfId="0" applyFont="1" applyFill="1" applyBorder="1" applyAlignment="1"/>
    <xf numFmtId="0" fontId="62" fillId="2" borderId="234" xfId="0" applyFont="1" applyFill="1" applyBorder="1" applyAlignment="1"/>
    <xf numFmtId="0" fontId="62" fillId="2" borderId="235" xfId="0" applyFont="1" applyFill="1" applyBorder="1" applyAlignment="1"/>
    <xf numFmtId="0" fontId="62" fillId="2" borderId="123" xfId="0" applyFont="1" applyFill="1" applyBorder="1" applyAlignment="1">
      <alignment horizontal="left" vertical="center"/>
    </xf>
    <xf numFmtId="0" fontId="62" fillId="2" borderId="124" xfId="0" applyFont="1" applyFill="1" applyBorder="1" applyAlignment="1">
      <alignment horizontal="left" vertical="center"/>
    </xf>
    <xf numFmtId="0" fontId="62" fillId="2" borderId="129" xfId="0" applyFont="1" applyFill="1" applyBorder="1" applyAlignment="1">
      <alignment horizontal="left" vertical="center"/>
    </xf>
    <xf numFmtId="0" fontId="38" fillId="2" borderId="228" xfId="0" applyFont="1" applyFill="1" applyBorder="1" applyAlignment="1">
      <alignment horizontal="center" vertical="center"/>
    </xf>
    <xf numFmtId="0" fontId="38" fillId="2" borderId="229" xfId="0" applyFont="1" applyFill="1" applyBorder="1" applyAlignment="1">
      <alignment horizontal="center" vertical="center"/>
    </xf>
    <xf numFmtId="0" fontId="62" fillId="2" borderId="230" xfId="0" applyFont="1" applyFill="1" applyBorder="1" applyAlignment="1">
      <alignment horizontal="left"/>
    </xf>
    <xf numFmtId="0" fontId="62" fillId="2" borderId="231" xfId="0" applyFont="1" applyFill="1" applyBorder="1" applyAlignment="1">
      <alignment horizontal="left"/>
    </xf>
    <xf numFmtId="0" fontId="62" fillId="2" borderId="232" xfId="0" applyFont="1" applyFill="1" applyBorder="1" applyAlignment="1">
      <alignment horizontal="left"/>
    </xf>
    <xf numFmtId="0" fontId="62" fillId="2" borderId="226" xfId="0" applyFont="1" applyFill="1" applyBorder="1" applyAlignment="1">
      <alignment horizontal="left" vertical="center"/>
    </xf>
    <xf numFmtId="0" fontId="62" fillId="2" borderId="227" xfId="0" applyFont="1" applyFill="1" applyBorder="1" applyAlignment="1">
      <alignment horizontal="left" vertical="center"/>
    </xf>
    <xf numFmtId="0" fontId="59" fillId="2" borderId="0" xfId="0" applyFont="1" applyFill="1" applyBorder="1" applyAlignment="1">
      <alignment horizontal="center" vertical="center"/>
    </xf>
    <xf numFmtId="0" fontId="60" fillId="2" borderId="221" xfId="0" applyFont="1" applyFill="1" applyBorder="1" applyAlignment="1">
      <alignment horizontal="center" vertical="center"/>
    </xf>
    <xf numFmtId="0" fontId="60" fillId="2" borderId="222" xfId="0" applyFont="1" applyFill="1" applyBorder="1" applyAlignment="1">
      <alignment horizontal="center" vertical="center"/>
    </xf>
    <xf numFmtId="0" fontId="60" fillId="2" borderId="223" xfId="0" applyFont="1" applyFill="1" applyBorder="1" applyAlignment="1">
      <alignment horizontal="center" vertical="center"/>
    </xf>
    <xf numFmtId="0" fontId="60" fillId="2" borderId="224" xfId="0" applyFont="1" applyFill="1" applyBorder="1" applyAlignment="1">
      <alignment horizontal="center" vertical="center"/>
    </xf>
    <xf numFmtId="0" fontId="60" fillId="2" borderId="225" xfId="0" applyFont="1" applyFill="1" applyBorder="1" applyAlignment="1">
      <alignment horizontal="center" vertical="center"/>
    </xf>
    <xf numFmtId="179" fontId="44" fillId="2" borderId="0" xfId="0" applyNumberFormat="1" applyFont="1" applyFill="1" applyAlignment="1">
      <alignment horizontal="left" vertical="center"/>
    </xf>
    <xf numFmtId="179" fontId="44" fillId="2" borderId="0" xfId="0" applyNumberFormat="1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10" fillId="13" borderId="239" xfId="0" applyFont="1" applyFill="1" applyBorder="1" applyAlignment="1">
      <alignment horizontal="center" vertical="center"/>
    </xf>
    <xf numFmtId="0" fontId="10" fillId="2" borderId="105" xfId="0" applyFont="1" applyFill="1" applyBorder="1" applyAlignment="1">
      <alignment horizontal="center" vertical="center"/>
    </xf>
    <xf numFmtId="40" fontId="10" fillId="2" borderId="73" xfId="0" applyNumberFormat="1" applyFont="1" applyFill="1" applyBorder="1" applyAlignment="1">
      <alignment horizontal="center" vertical="center"/>
    </xf>
    <xf numFmtId="0" fontId="10" fillId="2" borderId="73" xfId="0" applyFont="1" applyFill="1" applyBorder="1" applyAlignment="1">
      <alignment horizontal="center" vertical="center"/>
    </xf>
    <xf numFmtId="0" fontId="10" fillId="13" borderId="162" xfId="0" applyFont="1" applyFill="1" applyBorder="1" applyAlignment="1">
      <alignment horizontal="center" vertical="center"/>
    </xf>
    <xf numFmtId="0" fontId="10" fillId="13" borderId="162" xfId="0" applyFont="1" applyFill="1" applyBorder="1" applyAlignment="1">
      <alignment horizontal="center" vertical="center" wrapText="1"/>
    </xf>
    <xf numFmtId="0" fontId="10" fillId="2" borderId="91" xfId="0" applyFont="1" applyFill="1" applyBorder="1" applyAlignment="1">
      <alignment horizontal="center" vertical="center"/>
    </xf>
    <xf numFmtId="0" fontId="10" fillId="13" borderId="238" xfId="0" applyFont="1" applyFill="1" applyBorder="1" applyAlignment="1">
      <alignment horizontal="center" vertical="center"/>
    </xf>
    <xf numFmtId="182" fontId="10" fillId="2" borderId="105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2" borderId="98" xfId="0" applyFont="1" applyFill="1" applyBorder="1" applyAlignment="1">
      <alignment horizontal="center" vertical="center"/>
    </xf>
    <xf numFmtId="0" fontId="10" fillId="2" borderId="99" xfId="0" applyFont="1" applyFill="1" applyBorder="1" applyAlignment="1">
      <alignment horizontal="center" vertical="center"/>
    </xf>
    <xf numFmtId="40" fontId="10" fillId="2" borderId="99" xfId="0" applyNumberFormat="1" applyFont="1" applyFill="1" applyBorder="1" applyAlignment="1">
      <alignment horizontal="center" vertical="center"/>
    </xf>
    <xf numFmtId="0" fontId="10" fillId="2" borderId="101" xfId="0" applyFont="1" applyFill="1" applyBorder="1" applyAlignment="1">
      <alignment horizontal="center" vertical="center"/>
    </xf>
    <xf numFmtId="0" fontId="10" fillId="2" borderId="156" xfId="0" applyFont="1" applyFill="1" applyBorder="1" applyAlignment="1">
      <alignment horizontal="center" vertical="center"/>
    </xf>
    <xf numFmtId="0" fontId="10" fillId="2" borderId="241" xfId="0" applyFont="1" applyFill="1" applyBorder="1" applyAlignment="1">
      <alignment horizontal="center" vertical="center" wrapText="1"/>
    </xf>
    <xf numFmtId="0" fontId="10" fillId="2" borderId="73" xfId="0" applyFont="1" applyFill="1" applyBorder="1" applyAlignment="1">
      <alignment horizontal="center" vertical="center" wrapText="1"/>
    </xf>
    <xf numFmtId="0" fontId="10" fillId="2" borderId="159" xfId="0" applyFont="1" applyFill="1" applyBorder="1" applyAlignment="1">
      <alignment horizontal="center" vertical="center"/>
    </xf>
    <xf numFmtId="0" fontId="10" fillId="2" borderId="243" xfId="0" applyFont="1" applyFill="1" applyBorder="1" applyAlignment="1">
      <alignment horizontal="center" vertical="center"/>
    </xf>
    <xf numFmtId="0" fontId="10" fillId="2" borderId="161" xfId="0" applyFont="1" applyFill="1" applyBorder="1" applyAlignment="1">
      <alignment horizontal="center" vertical="center"/>
    </xf>
    <xf numFmtId="0" fontId="10" fillId="2" borderId="142" xfId="0" applyFont="1" applyFill="1" applyBorder="1" applyAlignment="1">
      <alignment horizontal="center" vertical="center" wrapText="1"/>
    </xf>
    <xf numFmtId="189" fontId="10" fillId="2" borderId="135" xfId="0" applyNumberFormat="1" applyFont="1" applyFill="1" applyBorder="1" applyAlignment="1">
      <alignment horizontal="left" vertical="center"/>
    </xf>
    <xf numFmtId="0" fontId="10" fillId="2" borderId="240" xfId="0" applyFont="1" applyFill="1" applyBorder="1" applyAlignment="1">
      <alignment horizontal="center" vertical="center"/>
    </xf>
    <xf numFmtId="0" fontId="10" fillId="2" borderId="142" xfId="0" applyFont="1" applyFill="1" applyBorder="1" applyAlignment="1">
      <alignment horizontal="center" vertical="center"/>
    </xf>
    <xf numFmtId="0" fontId="10" fillId="2" borderId="241" xfId="0" applyFont="1" applyFill="1" applyBorder="1" applyAlignment="1">
      <alignment horizontal="center" vertical="center" textRotation="255"/>
    </xf>
    <xf numFmtId="0" fontId="10" fillId="2" borderId="73" xfId="0" applyFont="1" applyFill="1" applyBorder="1" applyAlignment="1">
      <alignment horizontal="center" vertical="center" textRotation="255"/>
    </xf>
    <xf numFmtId="0" fontId="10" fillId="2" borderId="242" xfId="0" applyFont="1" applyFill="1" applyBorder="1" applyAlignment="1">
      <alignment horizontal="center" vertical="center" wrapText="1"/>
    </xf>
    <xf numFmtId="0" fontId="10" fillId="2" borderId="143" xfId="0" applyFont="1" applyFill="1" applyBorder="1" applyAlignment="1">
      <alignment horizontal="center" vertical="center" wrapText="1"/>
    </xf>
    <xf numFmtId="0" fontId="10" fillId="2" borderId="135" xfId="0" applyFont="1" applyFill="1" applyBorder="1" applyAlignment="1">
      <alignment horizontal="right" vertical="center"/>
    </xf>
    <xf numFmtId="31" fontId="10" fillId="2" borderId="0" xfId="0" applyNumberFormat="1" applyFont="1" applyFill="1" applyBorder="1" applyAlignment="1">
      <alignment horizontal="left" vertical="center"/>
    </xf>
    <xf numFmtId="192" fontId="10" fillId="2" borderId="0" xfId="0" applyNumberFormat="1" applyFont="1" applyFill="1" applyBorder="1" applyAlignment="1">
      <alignment horizontal="center" vertical="center"/>
    </xf>
    <xf numFmtId="0" fontId="10" fillId="2" borderId="187" xfId="0" applyFont="1" applyFill="1" applyBorder="1" applyAlignment="1">
      <alignment horizontal="center" vertical="center"/>
    </xf>
    <xf numFmtId="0" fontId="10" fillId="2" borderId="189" xfId="0" applyFont="1" applyFill="1" applyBorder="1" applyAlignment="1">
      <alignment horizontal="center" vertical="center"/>
    </xf>
    <xf numFmtId="0" fontId="10" fillId="2" borderId="244" xfId="0" applyFont="1" applyFill="1" applyBorder="1" applyAlignment="1">
      <alignment horizontal="center" vertical="center" wrapText="1"/>
    </xf>
    <xf numFmtId="0" fontId="10" fillId="2" borderId="245" xfId="0" applyFont="1" applyFill="1" applyBorder="1" applyAlignment="1">
      <alignment horizontal="center" vertical="center" wrapText="1"/>
    </xf>
    <xf numFmtId="0" fontId="10" fillId="2" borderId="155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wrapText="1"/>
    </xf>
    <xf numFmtId="0" fontId="10" fillId="2" borderId="103" xfId="0" applyFont="1" applyFill="1" applyBorder="1" applyAlignment="1">
      <alignment horizontal="center" vertical="center" wrapText="1"/>
    </xf>
    <xf numFmtId="0" fontId="10" fillId="2" borderId="138" xfId="0" applyFont="1" applyFill="1" applyBorder="1" applyAlignment="1">
      <alignment horizontal="center" vertical="center" wrapText="1"/>
    </xf>
    <xf numFmtId="0" fontId="10" fillId="2" borderId="144" xfId="0" applyFont="1" applyFill="1" applyBorder="1" applyAlignment="1">
      <alignment horizontal="center" vertical="center" wrapText="1"/>
    </xf>
    <xf numFmtId="0" fontId="10" fillId="2" borderId="249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10" fillId="2" borderId="246" xfId="0" applyFont="1" applyFill="1" applyBorder="1" applyAlignment="1">
      <alignment horizontal="center" vertical="center"/>
    </xf>
    <xf numFmtId="0" fontId="10" fillId="2" borderId="247" xfId="0" applyFont="1" applyFill="1" applyBorder="1" applyAlignment="1">
      <alignment horizontal="center" vertical="center"/>
    </xf>
    <xf numFmtId="0" fontId="10" fillId="2" borderId="248" xfId="0" applyFont="1" applyFill="1" applyBorder="1" applyAlignment="1">
      <alignment horizontal="center" vertical="center" wrapText="1"/>
    </xf>
    <xf numFmtId="0" fontId="10" fillId="2" borderId="213" xfId="0" applyFont="1" applyFill="1" applyBorder="1" applyAlignment="1">
      <alignment horizontal="center" vertical="center" wrapText="1"/>
    </xf>
    <xf numFmtId="0" fontId="81" fillId="16" borderId="253" xfId="3" applyNumberFormat="1" applyFont="1" applyFill="1" applyBorder="1" applyAlignment="1">
      <alignment horizontal="center" vertical="center" wrapText="1"/>
    </xf>
    <xf numFmtId="0" fontId="81" fillId="16" borderId="254" xfId="3" applyNumberFormat="1" applyFont="1" applyFill="1" applyBorder="1" applyAlignment="1">
      <alignment horizontal="center" vertical="center" wrapText="1"/>
    </xf>
    <xf numFmtId="0" fontId="81" fillId="16" borderId="255" xfId="3" applyNumberFormat="1" applyFont="1" applyFill="1" applyBorder="1" applyAlignment="1">
      <alignment horizontal="center" vertical="center" wrapText="1"/>
    </xf>
    <xf numFmtId="0" fontId="81" fillId="16" borderId="256" xfId="3" applyNumberFormat="1" applyFont="1" applyFill="1" applyBorder="1" applyAlignment="1">
      <alignment horizontal="center" vertical="center" wrapText="1"/>
    </xf>
    <xf numFmtId="0" fontId="83" fillId="0" borderId="160" xfId="4" applyFont="1" applyFill="1" applyBorder="1" applyAlignment="1">
      <alignment horizontal="center" vertical="center"/>
    </xf>
    <xf numFmtId="49" fontId="83" fillId="0" borderId="160" xfId="4" applyNumberFormat="1" applyFont="1" applyFill="1" applyBorder="1" applyAlignment="1">
      <alignment horizontal="center" vertical="center"/>
    </xf>
    <xf numFmtId="178" fontId="83" fillId="0" borderId="160" xfId="5" applyFont="1" applyFill="1" applyBorder="1" applyAlignment="1">
      <alignment horizontal="center" vertical="center"/>
    </xf>
    <xf numFmtId="0" fontId="83" fillId="0" borderId="160" xfId="4" applyFont="1" applyFill="1" applyBorder="1" applyAlignment="1">
      <alignment horizontal="center" vertical="center" wrapText="1"/>
    </xf>
    <xf numFmtId="49" fontId="83" fillId="0" borderId="160" xfId="4" applyNumberFormat="1" applyFont="1" applyFill="1" applyBorder="1" applyAlignment="1">
      <alignment horizontal="center" vertical="center" wrapText="1"/>
    </xf>
    <xf numFmtId="0" fontId="83" fillId="0" borderId="251" xfId="4" applyFont="1" applyFill="1" applyBorder="1" applyAlignment="1">
      <alignment horizontal="center" vertical="center" wrapText="1"/>
    </xf>
    <xf numFmtId="0" fontId="83" fillId="0" borderId="252" xfId="4" applyFont="1" applyFill="1" applyBorder="1" applyAlignment="1">
      <alignment horizontal="center" vertical="center" wrapText="1"/>
    </xf>
    <xf numFmtId="10" fontId="81" fillId="16" borderId="160" xfId="3" applyNumberFormat="1" applyFont="1" applyFill="1" applyBorder="1" applyAlignment="1">
      <alignment horizontal="center" vertical="center" wrapText="1"/>
    </xf>
    <xf numFmtId="0" fontId="81" fillId="16" borderId="160" xfId="3" applyNumberFormat="1" applyFont="1" applyFill="1" applyBorder="1" applyAlignment="1">
      <alignment horizontal="center" vertical="center" wrapText="1"/>
    </xf>
    <xf numFmtId="0" fontId="81" fillId="23" borderId="160" xfId="4" applyFont="1" applyFill="1" applyBorder="1" applyAlignment="1">
      <alignment horizontal="center" vertical="center"/>
    </xf>
    <xf numFmtId="0" fontId="81" fillId="26" borderId="160" xfId="4" applyFont="1" applyFill="1" applyBorder="1" applyAlignment="1">
      <alignment horizontal="center" vertical="center"/>
    </xf>
    <xf numFmtId="0" fontId="81" fillId="17" borderId="160" xfId="4" applyFont="1" applyFill="1" applyBorder="1" applyAlignment="1">
      <alignment horizontal="center" vertical="center"/>
    </xf>
    <xf numFmtId="0" fontId="78" fillId="0" borderId="250" xfId="3" applyFont="1" applyFill="1" applyBorder="1" applyAlignment="1">
      <alignment horizontal="center" vertical="center" wrapText="1"/>
    </xf>
    <xf numFmtId="0" fontId="78" fillId="0" borderId="0" xfId="3" applyFont="1" applyFill="1" applyBorder="1" applyAlignment="1">
      <alignment horizontal="center" vertical="center" wrapText="1"/>
    </xf>
    <xf numFmtId="195" fontId="81" fillId="16" borderId="160" xfId="3" applyNumberFormat="1" applyFont="1" applyFill="1" applyBorder="1" applyAlignment="1">
      <alignment horizontal="center" vertical="center" wrapText="1"/>
    </xf>
    <xf numFmtId="195" fontId="81" fillId="16" borderId="251" xfId="3" applyNumberFormat="1" applyFont="1" applyFill="1" applyBorder="1" applyAlignment="1">
      <alignment horizontal="center" vertical="center" wrapText="1"/>
    </xf>
    <xf numFmtId="195" fontId="81" fillId="16" borderId="245" xfId="3" applyNumberFormat="1" applyFont="1" applyFill="1" applyBorder="1" applyAlignment="1">
      <alignment horizontal="center" vertical="center" wrapText="1"/>
    </xf>
    <xf numFmtId="195" fontId="81" fillId="16" borderId="252" xfId="3" applyNumberFormat="1" applyFont="1" applyFill="1" applyBorder="1" applyAlignment="1">
      <alignment horizontal="center" vertical="center" wrapText="1"/>
    </xf>
    <xf numFmtId="49" fontId="81" fillId="16" borderId="251" xfId="3" applyNumberFormat="1" applyFont="1" applyFill="1" applyBorder="1" applyAlignment="1">
      <alignment horizontal="center" vertical="center" wrapText="1"/>
    </xf>
    <xf numFmtId="49" fontId="81" fillId="16" borderId="245" xfId="3" applyNumberFormat="1" applyFont="1" applyFill="1" applyBorder="1" applyAlignment="1">
      <alignment horizontal="center" vertical="center" wrapText="1"/>
    </xf>
    <xf numFmtId="49" fontId="81" fillId="16" borderId="252" xfId="3" applyNumberFormat="1" applyFont="1" applyFill="1" applyBorder="1" applyAlignment="1">
      <alignment horizontal="center" vertical="center" wrapText="1"/>
    </xf>
    <xf numFmtId="0" fontId="81" fillId="16" borderId="251" xfId="3" applyNumberFormat="1" applyFont="1" applyFill="1" applyBorder="1" applyAlignment="1">
      <alignment horizontal="center" vertical="center" wrapText="1"/>
    </xf>
    <xf numFmtId="0" fontId="81" fillId="16" borderId="245" xfId="3" applyNumberFormat="1" applyFont="1" applyFill="1" applyBorder="1" applyAlignment="1">
      <alignment horizontal="center" vertical="center" wrapText="1"/>
    </xf>
    <xf numFmtId="0" fontId="81" fillId="16" borderId="252" xfId="3" applyNumberFormat="1" applyFont="1" applyFill="1" applyBorder="1" applyAlignment="1">
      <alignment horizontal="center" vertical="center" wrapText="1"/>
    </xf>
    <xf numFmtId="9" fontId="81" fillId="16" borderId="160" xfId="3" applyNumberFormat="1" applyFont="1" applyFill="1" applyBorder="1" applyAlignment="1">
      <alignment horizontal="center" vertical="center" wrapText="1"/>
    </xf>
    <xf numFmtId="0" fontId="10" fillId="6" borderId="160" xfId="7" applyFont="1" applyFill="1" applyBorder="1" applyAlignment="1">
      <alignment horizontal="center" vertical="center" wrapText="1"/>
    </xf>
    <xf numFmtId="0" fontId="10" fillId="30" borderId="160" xfId="7" applyFont="1" applyFill="1" applyBorder="1" applyAlignment="1">
      <alignment horizontal="center" vertical="center" wrapText="1"/>
    </xf>
    <xf numFmtId="0" fontId="10" fillId="6" borderId="160" xfId="8" applyFont="1" applyFill="1" applyBorder="1" applyAlignment="1">
      <alignment horizontal="center" vertical="center" wrapText="1"/>
    </xf>
    <xf numFmtId="0" fontId="2" fillId="6" borderId="260" xfId="7" applyFont="1" applyFill="1" applyBorder="1" applyAlignment="1">
      <alignment horizontal="center" vertical="center"/>
    </xf>
    <xf numFmtId="0" fontId="48" fillId="6" borderId="160" xfId="8" applyFont="1" applyFill="1" applyBorder="1" applyAlignment="1">
      <alignment horizontal="center" vertical="center" wrapText="1"/>
    </xf>
    <xf numFmtId="0" fontId="10" fillId="31" borderId="164" xfId="7" applyFont="1" applyFill="1" applyBorder="1" applyAlignment="1">
      <alignment horizontal="center" vertical="center" wrapText="1"/>
    </xf>
    <xf numFmtId="179" fontId="10" fillId="30" borderId="160" xfId="7" applyNumberFormat="1" applyFont="1" applyFill="1" applyBorder="1" applyAlignment="1">
      <alignment horizontal="center" vertical="center" wrapText="1"/>
    </xf>
    <xf numFmtId="0" fontId="10" fillId="31" borderId="160" xfId="7" applyFont="1" applyFill="1" applyBorder="1" applyAlignment="1">
      <alignment horizontal="center" vertical="center" wrapText="1"/>
    </xf>
    <xf numFmtId="179" fontId="10" fillId="31" borderId="160" xfId="7" applyNumberFormat="1" applyFont="1" applyFill="1" applyBorder="1" applyAlignment="1">
      <alignment horizontal="center" vertical="center" wrapText="1"/>
    </xf>
    <xf numFmtId="0" fontId="10" fillId="31" borderId="160" xfId="8" applyFont="1" applyFill="1" applyBorder="1" applyAlignment="1">
      <alignment horizontal="center" vertical="center" wrapText="1"/>
    </xf>
    <xf numFmtId="0" fontId="10" fillId="30" borderId="160" xfId="8" applyFont="1" applyFill="1" applyBorder="1" applyAlignment="1">
      <alignment horizontal="center" vertical="center" wrapText="1"/>
    </xf>
    <xf numFmtId="179" fontId="10" fillId="31" borderId="251" xfId="7" applyNumberFormat="1" applyFont="1" applyFill="1" applyBorder="1" applyAlignment="1">
      <alignment horizontal="center" vertical="center" wrapText="1"/>
    </xf>
    <xf numFmtId="179" fontId="10" fillId="31" borderId="245" xfId="7" applyNumberFormat="1" applyFont="1" applyFill="1" applyBorder="1" applyAlignment="1">
      <alignment horizontal="center" vertical="center" wrapText="1"/>
    </xf>
    <xf numFmtId="179" fontId="10" fillId="31" borderId="252" xfId="7" applyNumberFormat="1" applyFont="1" applyFill="1" applyBorder="1" applyAlignment="1">
      <alignment horizontal="center" vertical="center" wrapText="1"/>
    </xf>
    <xf numFmtId="0" fontId="2" fillId="32" borderId="260" xfId="7" applyFont="1" applyFill="1" applyBorder="1" applyAlignment="1">
      <alignment horizontal="center" vertical="center"/>
    </xf>
    <xf numFmtId="0" fontId="10" fillId="32" borderId="160" xfId="8" applyFont="1" applyFill="1" applyBorder="1" applyAlignment="1">
      <alignment horizontal="center" vertical="center" wrapText="1"/>
    </xf>
    <xf numFmtId="0" fontId="10" fillId="32" borderId="160" xfId="7" applyFont="1" applyFill="1" applyBorder="1" applyAlignment="1">
      <alignment horizontal="center" vertical="center" wrapText="1"/>
    </xf>
    <xf numFmtId="0" fontId="2" fillId="31" borderId="260" xfId="7" applyFont="1" applyFill="1" applyBorder="1" applyAlignment="1">
      <alignment horizontal="center" vertical="center"/>
    </xf>
    <xf numFmtId="0" fontId="48" fillId="31" borderId="160" xfId="8" applyFont="1" applyFill="1" applyBorder="1" applyAlignment="1">
      <alignment horizontal="center" vertical="center" wrapText="1"/>
    </xf>
    <xf numFmtId="0" fontId="10" fillId="32" borderId="164" xfId="7" applyFont="1" applyFill="1" applyBorder="1" applyAlignment="1">
      <alignment horizontal="center" vertical="center" wrapText="1"/>
    </xf>
    <xf numFmtId="0" fontId="10" fillId="32" borderId="164" xfId="7" applyNumberFormat="1" applyFont="1" applyFill="1" applyBorder="1" applyAlignment="1">
      <alignment horizontal="center" vertical="center" wrapText="1"/>
    </xf>
    <xf numFmtId="0" fontId="10" fillId="32" borderId="251" xfId="7" applyFont="1" applyFill="1" applyBorder="1" applyAlignment="1">
      <alignment horizontal="center" vertical="center" wrapText="1"/>
    </xf>
    <xf numFmtId="0" fontId="10" fillId="32" borderId="245" xfId="7" applyFont="1" applyFill="1" applyBorder="1" applyAlignment="1">
      <alignment horizontal="center" vertical="center" wrapText="1"/>
    </xf>
    <xf numFmtId="0" fontId="10" fillId="32" borderId="252" xfId="7" applyFont="1" applyFill="1" applyBorder="1" applyAlignment="1">
      <alignment horizontal="center" vertical="center" wrapText="1"/>
    </xf>
    <xf numFmtId="0" fontId="2" fillId="8" borderId="260" xfId="7" applyFont="1" applyFill="1" applyBorder="1" applyAlignment="1">
      <alignment horizontal="center" vertical="center"/>
    </xf>
    <xf numFmtId="0" fontId="89" fillId="8" borderId="260" xfId="7" applyFont="1" applyFill="1" applyBorder="1" applyAlignment="1">
      <alignment horizontal="center" vertical="center"/>
    </xf>
    <xf numFmtId="0" fontId="89" fillId="8" borderId="261" xfId="7" applyFont="1" applyFill="1" applyBorder="1" applyAlignment="1">
      <alignment horizontal="center" vertical="center"/>
    </xf>
    <xf numFmtId="0" fontId="10" fillId="8" borderId="160" xfId="8" applyFont="1" applyFill="1" applyBorder="1" applyAlignment="1">
      <alignment horizontal="center" vertical="center" wrapText="1"/>
    </xf>
    <xf numFmtId="0" fontId="10" fillId="8" borderId="160" xfId="7" applyFont="1" applyFill="1" applyBorder="1" applyAlignment="1">
      <alignment horizontal="center" vertical="center" wrapText="1"/>
    </xf>
    <xf numFmtId="0" fontId="10" fillId="8" borderId="164" xfId="7" applyFont="1" applyFill="1" applyBorder="1" applyAlignment="1">
      <alignment horizontal="center" vertical="center" wrapText="1"/>
    </xf>
    <xf numFmtId="0" fontId="48" fillId="8" borderId="160" xfId="8" applyFont="1" applyFill="1" applyBorder="1" applyAlignment="1">
      <alignment horizontal="center" vertical="center" wrapText="1"/>
    </xf>
    <xf numFmtId="0" fontId="48" fillId="8" borderId="262" xfId="8" applyFont="1" applyFill="1" applyBorder="1" applyAlignment="1">
      <alignment horizontal="center" vertical="center" wrapText="1"/>
    </xf>
    <xf numFmtId="0" fontId="10" fillId="8" borderId="262" xfId="8" applyFont="1" applyFill="1" applyBorder="1" applyAlignment="1">
      <alignment horizontal="center" vertical="center" wrapText="1"/>
    </xf>
    <xf numFmtId="195" fontId="10" fillId="8" borderId="164" xfId="8" applyNumberFormat="1" applyFont="1" applyFill="1" applyBorder="1" applyAlignment="1">
      <alignment horizontal="center" vertical="center" wrapText="1"/>
    </xf>
  </cellXfs>
  <cellStyles count="9">
    <cellStyle name="百分比 2" xfId="6"/>
    <cellStyle name="常规" xfId="0" builtinId="0"/>
    <cellStyle name="常规 2" xfId="4"/>
    <cellStyle name="常规 3" xfId="7"/>
    <cellStyle name="常规_Sheet1" xfId="3"/>
    <cellStyle name="常规_全国详情表（新）自己06.10.10" xfId="8"/>
    <cellStyle name="超链接" xfId="1" builtinId="8"/>
    <cellStyle name="千位分隔" xfId="2" builtinId="3"/>
    <cellStyle name="千位分隔 2" xfId="5"/>
  </cellStyles>
  <dxfs count="6">
    <dxf>
      <font>
        <condense val="0"/>
        <extend val="0"/>
        <color indexed="12"/>
      </font>
    </dxf>
    <dxf>
      <font>
        <condense val="0"/>
        <extend val="0"/>
        <color indexed="11"/>
      </font>
    </dxf>
    <dxf>
      <font>
        <condense val="0"/>
        <extend val="0"/>
        <color indexed="53"/>
      </font>
    </dxf>
    <dxf>
      <font>
        <condense val="0"/>
        <extend val="0"/>
        <color indexed="39"/>
      </font>
    </dxf>
    <dxf>
      <font>
        <condense val="0"/>
        <extend val="0"/>
        <color indexed="53"/>
      </font>
    </dxf>
    <dxf>
      <font>
        <condense val="0"/>
        <extend val="0"/>
        <color indexed="11"/>
      </font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&#30446;&#24405;!A1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&#30446;&#24405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45720</xdr:rowOff>
    </xdr:from>
    <xdr:to>
      <xdr:col>0</xdr:col>
      <xdr:colOff>601980</xdr:colOff>
      <xdr:row>0</xdr:row>
      <xdr:rowOff>579120</xdr:rowOff>
    </xdr:to>
    <xdr:pic>
      <xdr:nvPicPr>
        <xdr:cNvPr id="2051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54102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38100</xdr:colOff>
      <xdr:row>0</xdr:row>
      <xdr:rowOff>121920</xdr:rowOff>
    </xdr:from>
    <xdr:to>
      <xdr:col>4</xdr:col>
      <xdr:colOff>83820</xdr:colOff>
      <xdr:row>0</xdr:row>
      <xdr:rowOff>426720</xdr:rowOff>
    </xdr:to>
    <xdr:sp macro="" textlink="">
      <xdr:nvSpPr>
        <xdr:cNvPr id="2050" name="Rectangl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647700" y="121920"/>
          <a:ext cx="800100" cy="304800"/>
        </a:xfrm>
        <a:prstGeom prst="rect">
          <a:avLst/>
        </a:prstGeom>
        <a:gradFill rotWithShape="1">
          <a:gsLst>
            <a:gs pos="0">
              <a:srgbClr val="66FFCC"/>
            </a:gs>
            <a:gs pos="100000">
              <a:srgbClr val="66FFCC">
                <a:gamma/>
                <a:shade val="46275"/>
                <a:invGamma/>
              </a:srgbClr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EAEAEA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zh-CN" altLang="en-US" sz="1200" b="0" i="0" u="none" strike="noStrike" baseline="0">
              <a:solidFill>
                <a:srgbClr val="0000FF"/>
              </a:solidFill>
              <a:latin typeface="宋体"/>
              <a:ea typeface="宋体"/>
            </a:rPr>
            <a:t>返回目录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0</xdr:row>
      <xdr:rowOff>22860</xdr:rowOff>
    </xdr:from>
    <xdr:to>
      <xdr:col>1</xdr:col>
      <xdr:colOff>182880</xdr:colOff>
      <xdr:row>3</xdr:row>
      <xdr:rowOff>68580</xdr:rowOff>
    </xdr:to>
    <xdr:pic>
      <xdr:nvPicPr>
        <xdr:cNvPr id="3075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22860"/>
          <a:ext cx="47244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4143" name="Rectangle 1"/>
        <xdr:cNvSpPr>
          <a:spLocks noChangeArrowheads="1"/>
        </xdr:cNvSpPr>
      </xdr:nvSpPr>
      <xdr:spPr bwMode="auto">
        <a:xfrm>
          <a:off x="213360" y="464820"/>
          <a:ext cx="729234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144" name="Rectangle 2"/>
        <xdr:cNvSpPr>
          <a:spLocks noChangeArrowheads="1"/>
        </xdr:cNvSpPr>
      </xdr:nvSpPr>
      <xdr:spPr bwMode="auto">
        <a:xfrm>
          <a:off x="213360" y="3276600"/>
          <a:ext cx="729234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145" name="Rectangle 3"/>
        <xdr:cNvSpPr>
          <a:spLocks noChangeArrowheads="1"/>
        </xdr:cNvSpPr>
      </xdr:nvSpPr>
      <xdr:spPr bwMode="auto">
        <a:xfrm>
          <a:off x="213360" y="6088380"/>
          <a:ext cx="729234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4146" name="Rectangle 4"/>
        <xdr:cNvSpPr>
          <a:spLocks noChangeArrowheads="1"/>
        </xdr:cNvSpPr>
      </xdr:nvSpPr>
      <xdr:spPr bwMode="auto">
        <a:xfrm>
          <a:off x="213360" y="8884920"/>
          <a:ext cx="729234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4147" name="Rectangle 5"/>
        <xdr:cNvSpPr>
          <a:spLocks noChangeArrowheads="1"/>
        </xdr:cNvSpPr>
      </xdr:nvSpPr>
      <xdr:spPr bwMode="auto">
        <a:xfrm>
          <a:off x="5029200" y="22174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4148" name="Rectangle 6"/>
        <xdr:cNvSpPr>
          <a:spLocks noChangeArrowheads="1"/>
        </xdr:cNvSpPr>
      </xdr:nvSpPr>
      <xdr:spPr bwMode="auto">
        <a:xfrm>
          <a:off x="5029200" y="502920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49" name="Rectangle 7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50" name="Rectangle 8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12</xdr:row>
      <xdr:rowOff>312420</xdr:rowOff>
    </xdr:from>
    <xdr:to>
      <xdr:col>5</xdr:col>
      <xdr:colOff>609600</xdr:colOff>
      <xdr:row>12</xdr:row>
      <xdr:rowOff>312420</xdr:rowOff>
    </xdr:to>
    <xdr:sp macro="" textlink="">
      <xdr:nvSpPr>
        <xdr:cNvPr id="4151" name="Line 9"/>
        <xdr:cNvSpPr>
          <a:spLocks noChangeShapeType="1"/>
        </xdr:cNvSpPr>
      </xdr:nvSpPr>
      <xdr:spPr bwMode="auto">
        <a:xfrm>
          <a:off x="2667000" y="2529840"/>
          <a:ext cx="16687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312420</xdr:rowOff>
    </xdr:from>
    <xdr:to>
      <xdr:col>5</xdr:col>
      <xdr:colOff>609600</xdr:colOff>
      <xdr:row>26</xdr:row>
      <xdr:rowOff>312420</xdr:rowOff>
    </xdr:to>
    <xdr:sp macro="" textlink="">
      <xdr:nvSpPr>
        <xdr:cNvPr id="4152" name="Line 10"/>
        <xdr:cNvSpPr>
          <a:spLocks noChangeShapeType="1"/>
        </xdr:cNvSpPr>
      </xdr:nvSpPr>
      <xdr:spPr bwMode="auto">
        <a:xfrm>
          <a:off x="2667000" y="5341620"/>
          <a:ext cx="16687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312420</xdr:rowOff>
    </xdr:from>
    <xdr:to>
      <xdr:col>5</xdr:col>
      <xdr:colOff>609600</xdr:colOff>
      <xdr:row>40</xdr:row>
      <xdr:rowOff>312420</xdr:rowOff>
    </xdr:to>
    <xdr:sp macro="" textlink="">
      <xdr:nvSpPr>
        <xdr:cNvPr id="4153" name="Line 11"/>
        <xdr:cNvSpPr>
          <a:spLocks noChangeShapeType="1"/>
        </xdr:cNvSpPr>
      </xdr:nvSpPr>
      <xdr:spPr bwMode="auto">
        <a:xfrm>
          <a:off x="2667000" y="8153400"/>
          <a:ext cx="16687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54</xdr:row>
      <xdr:rowOff>312420</xdr:rowOff>
    </xdr:from>
    <xdr:to>
      <xdr:col>5</xdr:col>
      <xdr:colOff>609600</xdr:colOff>
      <xdr:row>54</xdr:row>
      <xdr:rowOff>312420</xdr:rowOff>
    </xdr:to>
    <xdr:sp macro="" textlink="">
      <xdr:nvSpPr>
        <xdr:cNvPr id="4154" name="Line 12"/>
        <xdr:cNvSpPr>
          <a:spLocks noChangeShapeType="1"/>
        </xdr:cNvSpPr>
      </xdr:nvSpPr>
      <xdr:spPr bwMode="auto">
        <a:xfrm>
          <a:off x="2667000" y="10949940"/>
          <a:ext cx="16687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4155" name="Rectangle 13"/>
        <xdr:cNvSpPr>
          <a:spLocks noChangeArrowheads="1"/>
        </xdr:cNvSpPr>
      </xdr:nvSpPr>
      <xdr:spPr bwMode="auto">
        <a:xfrm>
          <a:off x="5029200" y="502920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56" name="Rectangle 14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57" name="Rectangle 15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58" name="Rectangle 16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59" name="Rectangle 17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60" name="Rectangle 18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9</xdr:col>
      <xdr:colOff>373380</xdr:colOff>
      <xdr:row>1</xdr:row>
      <xdr:rowOff>83820</xdr:rowOff>
    </xdr:from>
    <xdr:to>
      <xdr:col>10</xdr:col>
      <xdr:colOff>228600</xdr:colOff>
      <xdr:row>2</xdr:row>
      <xdr:rowOff>236220</xdr:rowOff>
    </xdr:to>
    <xdr:pic>
      <xdr:nvPicPr>
        <xdr:cNvPr id="4161" name="Picture 19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6720" y="167640"/>
          <a:ext cx="54102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4162" name="Rectangle 20"/>
        <xdr:cNvSpPr>
          <a:spLocks noChangeArrowheads="1"/>
        </xdr:cNvSpPr>
      </xdr:nvSpPr>
      <xdr:spPr bwMode="auto">
        <a:xfrm>
          <a:off x="5029200" y="502920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63" name="Rectangle 21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64" name="Rectangle 22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65" name="Rectangle 23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66" name="Rectangle 24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67" name="Rectangle 25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68" name="Rectangle 26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69" name="Rectangle 27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70" name="Rectangle 28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71" name="Rectangle 29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4172" name="Rectangle 32"/>
        <xdr:cNvSpPr>
          <a:spLocks noChangeArrowheads="1"/>
        </xdr:cNvSpPr>
      </xdr:nvSpPr>
      <xdr:spPr bwMode="auto">
        <a:xfrm>
          <a:off x="5029200" y="502920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73" name="Rectangle 33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74" name="Rectangle 34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75" name="Rectangle 35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176" name="Rectangle 36"/>
        <xdr:cNvSpPr>
          <a:spLocks noChangeArrowheads="1"/>
        </xdr:cNvSpPr>
      </xdr:nvSpPr>
      <xdr:spPr bwMode="auto">
        <a:xfrm>
          <a:off x="5029200" y="784098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77" name="Rectangle 37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78" name="Rectangle 38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79" name="Rectangle 39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0" name="Rectangle 40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1" name="Rectangle 41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2" name="Rectangle 42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3" name="Rectangle 43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4" name="Rectangle 44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5" name="Rectangle 45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6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4186" name="Rectangle 46"/>
        <xdr:cNvSpPr>
          <a:spLocks noChangeArrowheads="1"/>
        </xdr:cNvSpPr>
      </xdr:nvSpPr>
      <xdr:spPr bwMode="auto">
        <a:xfrm>
          <a:off x="5029200" y="10637520"/>
          <a:ext cx="247650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5132" name="Rectangle 1"/>
        <xdr:cNvSpPr>
          <a:spLocks noChangeArrowheads="1"/>
        </xdr:cNvSpPr>
      </xdr:nvSpPr>
      <xdr:spPr bwMode="auto">
        <a:xfrm>
          <a:off x="6682740" y="566166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5133" name="Rectangle 2"/>
        <xdr:cNvSpPr>
          <a:spLocks noChangeArrowheads="1"/>
        </xdr:cNvSpPr>
      </xdr:nvSpPr>
      <xdr:spPr bwMode="auto">
        <a:xfrm>
          <a:off x="6682740" y="566166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pic>
      <xdr:nvPicPr>
        <xdr:cNvPr id="5134" name="Picture 3" descr="bia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" t="11005" r="72043" b="9093"/>
        <a:stretch>
          <a:fillRect/>
        </a:stretch>
      </xdr:blipFill>
      <xdr:spPr bwMode="auto">
        <a:xfrm>
          <a:off x="6682740" y="566166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5135" name="Rectangle 4"/>
        <xdr:cNvSpPr>
          <a:spLocks noChangeArrowheads="1"/>
        </xdr:cNvSpPr>
      </xdr:nvSpPr>
      <xdr:spPr bwMode="auto">
        <a:xfrm>
          <a:off x="6682740" y="566166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5136" name="Rectangle 5"/>
        <xdr:cNvSpPr>
          <a:spLocks noChangeArrowheads="1"/>
        </xdr:cNvSpPr>
      </xdr:nvSpPr>
      <xdr:spPr bwMode="auto">
        <a:xfrm>
          <a:off x="6682740" y="566166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5137" name="Rectangle 6"/>
        <xdr:cNvSpPr>
          <a:spLocks noChangeArrowheads="1"/>
        </xdr:cNvSpPr>
      </xdr:nvSpPr>
      <xdr:spPr bwMode="auto">
        <a:xfrm>
          <a:off x="6682740" y="566166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29</xdr:row>
      <xdr:rowOff>0</xdr:rowOff>
    </xdr:to>
    <xdr:pic>
      <xdr:nvPicPr>
        <xdr:cNvPr id="5138" name="Picture 7" descr="bia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" t="11005" r="72043" b="9093"/>
        <a:stretch>
          <a:fillRect/>
        </a:stretch>
      </xdr:blipFill>
      <xdr:spPr bwMode="auto">
        <a:xfrm>
          <a:off x="6682740" y="566166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30</xdr:row>
      <xdr:rowOff>0</xdr:rowOff>
    </xdr:from>
    <xdr:to>
      <xdr:col>5</xdr:col>
      <xdr:colOff>891540</xdr:colOff>
      <xdr:row>38</xdr:row>
      <xdr:rowOff>0</xdr:rowOff>
    </xdr:to>
    <xdr:sp macro="" textlink="">
      <xdr:nvSpPr>
        <xdr:cNvPr id="5139" name="Rectangle 8"/>
        <xdr:cNvSpPr>
          <a:spLocks noChangeArrowheads="1"/>
        </xdr:cNvSpPr>
      </xdr:nvSpPr>
      <xdr:spPr bwMode="auto">
        <a:xfrm>
          <a:off x="76200" y="5798820"/>
          <a:ext cx="3131820" cy="109728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7620</xdr:colOff>
      <xdr:row>30</xdr:row>
      <xdr:rowOff>0</xdr:rowOff>
    </xdr:from>
    <xdr:to>
      <xdr:col>13</xdr:col>
      <xdr:colOff>0</xdr:colOff>
      <xdr:row>38</xdr:row>
      <xdr:rowOff>0</xdr:rowOff>
    </xdr:to>
    <xdr:sp macro="" textlink="">
      <xdr:nvSpPr>
        <xdr:cNvPr id="5140" name="Rectangle 9"/>
        <xdr:cNvSpPr>
          <a:spLocks noChangeArrowheads="1"/>
        </xdr:cNvSpPr>
      </xdr:nvSpPr>
      <xdr:spPr bwMode="auto">
        <a:xfrm>
          <a:off x="3459480" y="5798820"/>
          <a:ext cx="3223260" cy="109728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0</xdr:colOff>
      <xdr:row>30</xdr:row>
      <xdr:rowOff>0</xdr:rowOff>
    </xdr:from>
    <xdr:to>
      <xdr:col>19</xdr:col>
      <xdr:colOff>891540</xdr:colOff>
      <xdr:row>38</xdr:row>
      <xdr:rowOff>0</xdr:rowOff>
    </xdr:to>
    <xdr:sp macro="" textlink="">
      <xdr:nvSpPr>
        <xdr:cNvPr id="5141" name="Rectangle 10"/>
        <xdr:cNvSpPr>
          <a:spLocks noChangeArrowheads="1"/>
        </xdr:cNvSpPr>
      </xdr:nvSpPr>
      <xdr:spPr bwMode="auto">
        <a:xfrm>
          <a:off x="6858000" y="5798820"/>
          <a:ext cx="3131820" cy="109728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21</xdr:col>
      <xdr:colOff>594360</xdr:colOff>
      <xdr:row>0</xdr:row>
      <xdr:rowOff>106680</xdr:rowOff>
    </xdr:from>
    <xdr:to>
      <xdr:col>22</xdr:col>
      <xdr:colOff>449580</xdr:colOff>
      <xdr:row>3</xdr:row>
      <xdr:rowOff>68580</xdr:rowOff>
    </xdr:to>
    <xdr:pic>
      <xdr:nvPicPr>
        <xdr:cNvPr id="5142" name="Picture 11" descr="map_pic2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2760" y="106680"/>
          <a:ext cx="541020" cy="525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68580</xdr:colOff>
      <xdr:row>3</xdr:row>
      <xdr:rowOff>68580</xdr:rowOff>
    </xdr:to>
    <xdr:pic>
      <xdr:nvPicPr>
        <xdr:cNvPr id="6146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4102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350520</xdr:colOff>
      <xdr:row>3</xdr:row>
      <xdr:rowOff>0</xdr:rowOff>
    </xdr:from>
    <xdr:to>
      <xdr:col>5</xdr:col>
      <xdr:colOff>91440</xdr:colOff>
      <xdr:row>4</xdr:row>
      <xdr:rowOff>0</xdr:rowOff>
    </xdr:to>
    <xdr:sp macro="" textlink="">
      <xdr:nvSpPr>
        <xdr:cNvPr id="7192" name="Rectangle 1"/>
        <xdr:cNvSpPr>
          <a:spLocks noChangeArrowheads="1"/>
        </xdr:cNvSpPr>
      </xdr:nvSpPr>
      <xdr:spPr bwMode="auto">
        <a:xfrm>
          <a:off x="294132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975360</xdr:colOff>
      <xdr:row>3</xdr:row>
      <xdr:rowOff>0</xdr:rowOff>
    </xdr:from>
    <xdr:to>
      <xdr:col>3</xdr:col>
      <xdr:colOff>1143000</xdr:colOff>
      <xdr:row>4</xdr:row>
      <xdr:rowOff>0</xdr:rowOff>
    </xdr:to>
    <xdr:sp macro="" textlink="">
      <xdr:nvSpPr>
        <xdr:cNvPr id="7170" name="Rectangle 2"/>
        <xdr:cNvSpPr>
          <a:spLocks noChangeArrowheads="1"/>
        </xdr:cNvSpPr>
      </xdr:nvSpPr>
      <xdr:spPr bwMode="auto">
        <a:xfrm>
          <a:off x="2293620" y="586740"/>
          <a:ext cx="16764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7</a:t>
          </a:r>
        </a:p>
      </xdr:txBody>
    </xdr:sp>
    <xdr:clientData/>
  </xdr:twoCellAnchor>
  <xdr:twoCellAnchor>
    <xdr:from>
      <xdr:col>3</xdr:col>
      <xdr:colOff>1143000</xdr:colOff>
      <xdr:row>3</xdr:row>
      <xdr:rowOff>0</xdr:rowOff>
    </xdr:from>
    <xdr:to>
      <xdr:col>4</xdr:col>
      <xdr:colOff>30480</xdr:colOff>
      <xdr:row>4</xdr:row>
      <xdr:rowOff>0</xdr:rowOff>
    </xdr:to>
    <xdr:sp macro="" textlink="">
      <xdr:nvSpPr>
        <xdr:cNvPr id="7171" name="Rectangle 3"/>
        <xdr:cNvSpPr>
          <a:spLocks noChangeArrowheads="1"/>
        </xdr:cNvSpPr>
      </xdr:nvSpPr>
      <xdr:spPr bwMode="auto">
        <a:xfrm>
          <a:off x="246126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</a:t>
          </a:r>
        </a:p>
      </xdr:txBody>
    </xdr:sp>
    <xdr:clientData/>
  </xdr:twoCellAnchor>
  <xdr:twoCellAnchor>
    <xdr:from>
      <xdr:col>4</xdr:col>
      <xdr:colOff>30480</xdr:colOff>
      <xdr:row>3</xdr:row>
      <xdr:rowOff>0</xdr:rowOff>
    </xdr:from>
    <xdr:to>
      <xdr:col>4</xdr:col>
      <xdr:colOff>190500</xdr:colOff>
      <xdr:row>4</xdr:row>
      <xdr:rowOff>0</xdr:rowOff>
    </xdr:to>
    <xdr:sp macro="" textlink="">
      <xdr:nvSpPr>
        <xdr:cNvPr id="7172" name="Rectangle 4"/>
        <xdr:cNvSpPr>
          <a:spLocks noChangeArrowheads="1"/>
        </xdr:cNvSpPr>
      </xdr:nvSpPr>
      <xdr:spPr bwMode="auto">
        <a:xfrm>
          <a:off x="262128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9</a:t>
          </a:r>
        </a:p>
      </xdr:txBody>
    </xdr:sp>
    <xdr:clientData/>
  </xdr:twoCellAnchor>
  <xdr:twoCellAnchor>
    <xdr:from>
      <xdr:col>4</xdr:col>
      <xdr:colOff>190500</xdr:colOff>
      <xdr:row>3</xdr:row>
      <xdr:rowOff>0</xdr:rowOff>
    </xdr:from>
    <xdr:to>
      <xdr:col>4</xdr:col>
      <xdr:colOff>350520</xdr:colOff>
      <xdr:row>4</xdr:row>
      <xdr:rowOff>0</xdr:rowOff>
    </xdr:to>
    <xdr:sp macro="" textlink="">
      <xdr:nvSpPr>
        <xdr:cNvPr id="7173" name="Rectangle 5"/>
        <xdr:cNvSpPr>
          <a:spLocks noChangeArrowheads="1"/>
        </xdr:cNvSpPr>
      </xdr:nvSpPr>
      <xdr:spPr bwMode="auto">
        <a:xfrm>
          <a:off x="278130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3</xdr:col>
      <xdr:colOff>815340</xdr:colOff>
      <xdr:row>3</xdr:row>
      <xdr:rowOff>0</xdr:rowOff>
    </xdr:from>
    <xdr:to>
      <xdr:col>3</xdr:col>
      <xdr:colOff>975360</xdr:colOff>
      <xdr:row>4</xdr:row>
      <xdr:rowOff>0</xdr:rowOff>
    </xdr:to>
    <xdr:sp macro="" textlink="">
      <xdr:nvSpPr>
        <xdr:cNvPr id="7174" name="Rectangle 6"/>
        <xdr:cNvSpPr>
          <a:spLocks noChangeArrowheads="1"/>
        </xdr:cNvSpPr>
      </xdr:nvSpPr>
      <xdr:spPr bwMode="auto">
        <a:xfrm>
          <a:off x="213360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</a:t>
          </a:r>
        </a:p>
      </xdr:txBody>
    </xdr:sp>
    <xdr:clientData/>
  </xdr:twoCellAnchor>
  <xdr:twoCellAnchor>
    <xdr:from>
      <xdr:col>5</xdr:col>
      <xdr:colOff>91440</xdr:colOff>
      <xdr:row>3</xdr:row>
      <xdr:rowOff>0</xdr:rowOff>
    </xdr:from>
    <xdr:to>
      <xdr:col>5</xdr:col>
      <xdr:colOff>259080</xdr:colOff>
      <xdr:row>4</xdr:row>
      <xdr:rowOff>0</xdr:rowOff>
    </xdr:to>
    <xdr:sp macro="" textlink="">
      <xdr:nvSpPr>
        <xdr:cNvPr id="7198" name="Rectangle 7"/>
        <xdr:cNvSpPr>
          <a:spLocks noChangeArrowheads="1"/>
        </xdr:cNvSpPr>
      </xdr:nvSpPr>
      <xdr:spPr bwMode="auto">
        <a:xfrm>
          <a:off x="3101340" y="586740"/>
          <a:ext cx="16764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259080</xdr:colOff>
      <xdr:row>3</xdr:row>
      <xdr:rowOff>0</xdr:rowOff>
    </xdr:from>
    <xdr:to>
      <xdr:col>5</xdr:col>
      <xdr:colOff>419100</xdr:colOff>
      <xdr:row>4</xdr:row>
      <xdr:rowOff>0</xdr:rowOff>
    </xdr:to>
    <xdr:sp macro="" textlink="">
      <xdr:nvSpPr>
        <xdr:cNvPr id="7199" name="Rectangle 8"/>
        <xdr:cNvSpPr>
          <a:spLocks noChangeArrowheads="1"/>
        </xdr:cNvSpPr>
      </xdr:nvSpPr>
      <xdr:spPr bwMode="auto">
        <a:xfrm>
          <a:off x="326898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411480</xdr:colOff>
      <xdr:row>3</xdr:row>
      <xdr:rowOff>0</xdr:rowOff>
    </xdr:from>
    <xdr:to>
      <xdr:col>5</xdr:col>
      <xdr:colOff>571500</xdr:colOff>
      <xdr:row>4</xdr:row>
      <xdr:rowOff>0</xdr:rowOff>
    </xdr:to>
    <xdr:sp macro="" textlink="">
      <xdr:nvSpPr>
        <xdr:cNvPr id="7200" name="Rectangle 9"/>
        <xdr:cNvSpPr>
          <a:spLocks noChangeArrowheads="1"/>
        </xdr:cNvSpPr>
      </xdr:nvSpPr>
      <xdr:spPr bwMode="auto">
        <a:xfrm>
          <a:off x="342138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571500</xdr:colOff>
      <xdr:row>3</xdr:row>
      <xdr:rowOff>0</xdr:rowOff>
    </xdr:from>
    <xdr:to>
      <xdr:col>5</xdr:col>
      <xdr:colOff>731520</xdr:colOff>
      <xdr:row>4</xdr:row>
      <xdr:rowOff>0</xdr:rowOff>
    </xdr:to>
    <xdr:sp macro="" textlink="">
      <xdr:nvSpPr>
        <xdr:cNvPr id="7201" name="Rectangle 10"/>
        <xdr:cNvSpPr>
          <a:spLocks noChangeArrowheads="1"/>
        </xdr:cNvSpPr>
      </xdr:nvSpPr>
      <xdr:spPr bwMode="auto">
        <a:xfrm>
          <a:off x="358140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723900</xdr:colOff>
      <xdr:row>3</xdr:row>
      <xdr:rowOff>0</xdr:rowOff>
    </xdr:from>
    <xdr:to>
      <xdr:col>6</xdr:col>
      <xdr:colOff>76200</xdr:colOff>
      <xdr:row>4</xdr:row>
      <xdr:rowOff>0</xdr:rowOff>
    </xdr:to>
    <xdr:sp macro="" textlink="">
      <xdr:nvSpPr>
        <xdr:cNvPr id="7202" name="Rectangle 11"/>
        <xdr:cNvSpPr>
          <a:spLocks noChangeArrowheads="1"/>
        </xdr:cNvSpPr>
      </xdr:nvSpPr>
      <xdr:spPr bwMode="auto">
        <a:xfrm>
          <a:off x="373380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68580</xdr:colOff>
      <xdr:row>3</xdr:row>
      <xdr:rowOff>0</xdr:rowOff>
    </xdr:from>
    <xdr:to>
      <xdr:col>6</xdr:col>
      <xdr:colOff>228600</xdr:colOff>
      <xdr:row>4</xdr:row>
      <xdr:rowOff>0</xdr:rowOff>
    </xdr:to>
    <xdr:sp macro="" textlink="">
      <xdr:nvSpPr>
        <xdr:cNvPr id="7203" name="Rectangle 12"/>
        <xdr:cNvSpPr>
          <a:spLocks noChangeArrowheads="1"/>
        </xdr:cNvSpPr>
      </xdr:nvSpPr>
      <xdr:spPr bwMode="auto">
        <a:xfrm>
          <a:off x="388620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228600</xdr:colOff>
      <xdr:row>3</xdr:row>
      <xdr:rowOff>0</xdr:rowOff>
    </xdr:from>
    <xdr:to>
      <xdr:col>7</xdr:col>
      <xdr:colOff>7620</xdr:colOff>
      <xdr:row>4</xdr:row>
      <xdr:rowOff>0</xdr:rowOff>
    </xdr:to>
    <xdr:sp macro="" textlink="">
      <xdr:nvSpPr>
        <xdr:cNvPr id="7204" name="Rectangle 13"/>
        <xdr:cNvSpPr>
          <a:spLocks noChangeArrowheads="1"/>
        </xdr:cNvSpPr>
      </xdr:nvSpPr>
      <xdr:spPr bwMode="auto">
        <a:xfrm>
          <a:off x="404622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7620</xdr:colOff>
      <xdr:row>3</xdr:row>
      <xdr:rowOff>0</xdr:rowOff>
    </xdr:from>
    <xdr:to>
      <xdr:col>7</xdr:col>
      <xdr:colOff>167640</xdr:colOff>
      <xdr:row>4</xdr:row>
      <xdr:rowOff>0</xdr:rowOff>
    </xdr:to>
    <xdr:sp macro="" textlink="">
      <xdr:nvSpPr>
        <xdr:cNvPr id="7205" name="Rectangle 14"/>
        <xdr:cNvSpPr>
          <a:spLocks noChangeArrowheads="1"/>
        </xdr:cNvSpPr>
      </xdr:nvSpPr>
      <xdr:spPr bwMode="auto">
        <a:xfrm flipH="1">
          <a:off x="420624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7620</xdr:colOff>
      <xdr:row>3</xdr:row>
      <xdr:rowOff>0</xdr:rowOff>
    </xdr:from>
    <xdr:to>
      <xdr:col>7</xdr:col>
      <xdr:colOff>167640</xdr:colOff>
      <xdr:row>4</xdr:row>
      <xdr:rowOff>0</xdr:rowOff>
    </xdr:to>
    <xdr:sp macro="" textlink="">
      <xdr:nvSpPr>
        <xdr:cNvPr id="7206" name="Rectangle 15"/>
        <xdr:cNvSpPr>
          <a:spLocks noChangeArrowheads="1"/>
        </xdr:cNvSpPr>
      </xdr:nvSpPr>
      <xdr:spPr bwMode="auto">
        <a:xfrm flipH="1">
          <a:off x="420624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167640</xdr:colOff>
      <xdr:row>3</xdr:row>
      <xdr:rowOff>0</xdr:rowOff>
    </xdr:from>
    <xdr:to>
      <xdr:col>7</xdr:col>
      <xdr:colOff>335280</xdr:colOff>
      <xdr:row>4</xdr:row>
      <xdr:rowOff>0</xdr:rowOff>
    </xdr:to>
    <xdr:sp macro="" textlink="">
      <xdr:nvSpPr>
        <xdr:cNvPr id="7207" name="Rectangle 16"/>
        <xdr:cNvSpPr>
          <a:spLocks noChangeArrowheads="1"/>
        </xdr:cNvSpPr>
      </xdr:nvSpPr>
      <xdr:spPr bwMode="auto">
        <a:xfrm flipH="1">
          <a:off x="4366260" y="586740"/>
          <a:ext cx="16764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</xdr:colOff>
      <xdr:row>3</xdr:row>
      <xdr:rowOff>0</xdr:rowOff>
    </xdr:from>
    <xdr:to>
      <xdr:col>3</xdr:col>
      <xdr:colOff>175260</xdr:colOff>
      <xdr:row>4</xdr:row>
      <xdr:rowOff>0</xdr:rowOff>
    </xdr:to>
    <xdr:sp macro="" textlink="">
      <xdr:nvSpPr>
        <xdr:cNvPr id="7185" name="Rectangle 17"/>
        <xdr:cNvSpPr>
          <a:spLocks noChangeArrowheads="1"/>
        </xdr:cNvSpPr>
      </xdr:nvSpPr>
      <xdr:spPr bwMode="auto">
        <a:xfrm flipH="1">
          <a:off x="1325880" y="586740"/>
          <a:ext cx="16764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3</xdr:col>
      <xdr:colOff>175260</xdr:colOff>
      <xdr:row>3</xdr:row>
      <xdr:rowOff>0</xdr:rowOff>
    </xdr:from>
    <xdr:to>
      <xdr:col>3</xdr:col>
      <xdr:colOff>335280</xdr:colOff>
      <xdr:row>4</xdr:row>
      <xdr:rowOff>0</xdr:rowOff>
    </xdr:to>
    <xdr:sp macro="" textlink="">
      <xdr:nvSpPr>
        <xdr:cNvPr id="7186" name="Rectangle 18"/>
        <xdr:cNvSpPr>
          <a:spLocks noChangeArrowheads="1"/>
        </xdr:cNvSpPr>
      </xdr:nvSpPr>
      <xdr:spPr bwMode="auto">
        <a:xfrm flipH="1">
          <a:off x="149352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3</xdr:col>
      <xdr:colOff>335280</xdr:colOff>
      <xdr:row>3</xdr:row>
      <xdr:rowOff>0</xdr:rowOff>
    </xdr:from>
    <xdr:to>
      <xdr:col>3</xdr:col>
      <xdr:colOff>495300</xdr:colOff>
      <xdr:row>4</xdr:row>
      <xdr:rowOff>0</xdr:rowOff>
    </xdr:to>
    <xdr:sp macro="" textlink="">
      <xdr:nvSpPr>
        <xdr:cNvPr id="7187" name="Rectangle 19"/>
        <xdr:cNvSpPr>
          <a:spLocks noChangeArrowheads="1"/>
        </xdr:cNvSpPr>
      </xdr:nvSpPr>
      <xdr:spPr bwMode="auto">
        <a:xfrm flipH="1">
          <a:off x="165354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</xdr:txBody>
    </xdr:sp>
    <xdr:clientData/>
  </xdr:twoCellAnchor>
  <xdr:twoCellAnchor>
    <xdr:from>
      <xdr:col>3</xdr:col>
      <xdr:colOff>495300</xdr:colOff>
      <xdr:row>3</xdr:row>
      <xdr:rowOff>0</xdr:rowOff>
    </xdr:from>
    <xdr:to>
      <xdr:col>3</xdr:col>
      <xdr:colOff>655320</xdr:colOff>
      <xdr:row>4</xdr:row>
      <xdr:rowOff>0</xdr:rowOff>
    </xdr:to>
    <xdr:sp macro="" textlink="">
      <xdr:nvSpPr>
        <xdr:cNvPr id="7188" name="Rectangle 20"/>
        <xdr:cNvSpPr>
          <a:spLocks noChangeArrowheads="1"/>
        </xdr:cNvSpPr>
      </xdr:nvSpPr>
      <xdr:spPr bwMode="auto">
        <a:xfrm flipH="1">
          <a:off x="181356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3</xdr:col>
      <xdr:colOff>655320</xdr:colOff>
      <xdr:row>3</xdr:row>
      <xdr:rowOff>0</xdr:rowOff>
    </xdr:from>
    <xdr:to>
      <xdr:col>3</xdr:col>
      <xdr:colOff>815340</xdr:colOff>
      <xdr:row>4</xdr:row>
      <xdr:rowOff>0</xdr:rowOff>
    </xdr:to>
    <xdr:sp macro="" textlink="">
      <xdr:nvSpPr>
        <xdr:cNvPr id="7189" name="Rectangle 21"/>
        <xdr:cNvSpPr>
          <a:spLocks noChangeArrowheads="1"/>
        </xdr:cNvSpPr>
      </xdr:nvSpPr>
      <xdr:spPr bwMode="auto">
        <a:xfrm flipH="1">
          <a:off x="1973580" y="586740"/>
          <a:ext cx="16002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5</a:t>
          </a:r>
        </a:p>
      </xdr:txBody>
    </xdr:sp>
    <xdr:clientData/>
  </xdr:twoCellAnchor>
  <xdr:twoCellAnchor editAs="oneCell">
    <xdr:from>
      <xdr:col>8</xdr:col>
      <xdr:colOff>457200</xdr:colOff>
      <xdr:row>2</xdr:row>
      <xdr:rowOff>83820</xdr:rowOff>
    </xdr:from>
    <xdr:to>
      <xdr:col>9</xdr:col>
      <xdr:colOff>266700</xdr:colOff>
      <xdr:row>5</xdr:row>
      <xdr:rowOff>83820</xdr:rowOff>
    </xdr:to>
    <xdr:pic>
      <xdr:nvPicPr>
        <xdr:cNvPr id="7213" name="Picture 22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7340" y="472440"/>
          <a:ext cx="541020" cy="594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533400</xdr:colOff>
      <xdr:row>1</xdr:row>
      <xdr:rowOff>114300</xdr:rowOff>
    </xdr:from>
    <xdr:to>
      <xdr:col>10</xdr:col>
      <xdr:colOff>99060</xdr:colOff>
      <xdr:row>4</xdr:row>
      <xdr:rowOff>30480</xdr:rowOff>
    </xdr:to>
    <xdr:pic>
      <xdr:nvPicPr>
        <xdr:cNvPr id="9218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2880" y="312420"/>
          <a:ext cx="5334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434340</xdr:colOff>
      <xdr:row>3</xdr:row>
      <xdr:rowOff>106680</xdr:rowOff>
    </xdr:from>
    <xdr:to>
      <xdr:col>4</xdr:col>
      <xdr:colOff>304800</xdr:colOff>
      <xdr:row>6</xdr:row>
      <xdr:rowOff>106680</xdr:rowOff>
    </xdr:to>
    <xdr:pic>
      <xdr:nvPicPr>
        <xdr:cNvPr id="10242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3980" y="632460"/>
          <a:ext cx="541020" cy="525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18</xdr:row>
      <xdr:rowOff>0</xdr:rowOff>
    </xdr:from>
    <xdr:to>
      <xdr:col>1</xdr:col>
      <xdr:colOff>464820</xdr:colOff>
      <xdr:row>20</xdr:row>
      <xdr:rowOff>137160</xdr:rowOff>
    </xdr:to>
    <xdr:pic>
      <xdr:nvPicPr>
        <xdr:cNvPr id="8195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4526280"/>
          <a:ext cx="46482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121920</xdr:colOff>
      <xdr:row>1</xdr:row>
      <xdr:rowOff>106680</xdr:rowOff>
    </xdr:from>
    <xdr:to>
      <xdr:col>26</xdr:col>
      <xdr:colOff>655320</xdr:colOff>
      <xdr:row>3</xdr:row>
      <xdr:rowOff>144780</xdr:rowOff>
    </xdr:to>
    <xdr:pic>
      <xdr:nvPicPr>
        <xdr:cNvPr id="8196" name="Picture 2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98580" y="358140"/>
          <a:ext cx="533400" cy="541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152400</xdr:colOff>
      <xdr:row>0</xdr:row>
      <xdr:rowOff>160020</xdr:rowOff>
    </xdr:from>
    <xdr:to>
      <xdr:col>24</xdr:col>
      <xdr:colOff>7620</xdr:colOff>
      <xdr:row>3</xdr:row>
      <xdr:rowOff>45720</xdr:rowOff>
    </xdr:to>
    <xdr:pic>
      <xdr:nvPicPr>
        <xdr:cNvPr id="12290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160020"/>
          <a:ext cx="541020" cy="525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3</xdr:row>
      <xdr:rowOff>60960</xdr:rowOff>
    </xdr:from>
    <xdr:to>
      <xdr:col>0</xdr:col>
      <xdr:colOff>518160</xdr:colOff>
      <xdr:row>6</xdr:row>
      <xdr:rowOff>0</xdr:rowOff>
    </xdr:to>
    <xdr:pic>
      <xdr:nvPicPr>
        <xdr:cNvPr id="11266" name="Picture 1" descr="map_pic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" y="678180"/>
          <a:ext cx="44958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0"/>
  <sheetViews>
    <sheetView showGridLines="0" showZeros="0" showOutlineSymbols="0" topLeftCell="A7" zoomScale="115" zoomScaleNormal="115" workbookViewId="0">
      <selection activeCell="B3" sqref="B3"/>
    </sheetView>
  </sheetViews>
  <sheetFormatPr defaultRowHeight="15"/>
  <cols>
    <col min="1" max="1" width="12.5" customWidth="1"/>
    <col min="2" max="2" width="13.25" customWidth="1"/>
    <col min="5" max="6" width="5.58203125" customWidth="1"/>
    <col min="7" max="7" width="2.25" customWidth="1"/>
    <col min="8" max="9" width="5.58203125" customWidth="1"/>
  </cols>
  <sheetData>
    <row r="1" spans="1:16" ht="14.25" customHeight="1">
      <c r="C1" s="489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</row>
    <row r="2" spans="1:16" ht="14.25" customHeight="1">
      <c r="A2" s="567" t="s">
        <v>1009</v>
      </c>
      <c r="B2" s="606">
        <v>2016</v>
      </c>
      <c r="C2" s="489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</row>
    <row r="3" spans="1:16" ht="20.25" customHeight="1">
      <c r="A3" s="567" t="s">
        <v>1010</v>
      </c>
      <c r="B3" s="606">
        <v>8</v>
      </c>
      <c r="C3" s="489"/>
      <c r="D3" s="448"/>
      <c r="E3" s="448"/>
      <c r="F3" s="448"/>
      <c r="G3" s="485" t="s">
        <v>441</v>
      </c>
      <c r="H3" s="448"/>
      <c r="I3" s="448"/>
      <c r="J3" s="448"/>
      <c r="K3" s="448"/>
      <c r="L3" s="448"/>
      <c r="M3" s="448"/>
      <c r="N3" s="448"/>
      <c r="O3" s="448"/>
      <c r="P3" s="448"/>
    </row>
    <row r="4" spans="1:16" ht="14.25" customHeight="1" thickBot="1">
      <c r="A4" s="567" t="s">
        <v>700</v>
      </c>
      <c r="B4" s="568" t="s">
        <v>635</v>
      </c>
      <c r="C4" s="489"/>
      <c r="D4" s="448"/>
      <c r="E4" s="448"/>
      <c r="F4" s="448"/>
      <c r="G4" s="448"/>
      <c r="H4" s="448"/>
      <c r="I4" s="448"/>
      <c r="J4" s="448"/>
      <c r="K4" s="448"/>
      <c r="L4" s="448"/>
      <c r="M4" s="448"/>
      <c r="N4" s="448"/>
      <c r="O4" s="448"/>
      <c r="P4" s="448"/>
    </row>
    <row r="5" spans="1:16" ht="14.25" customHeight="1" thickBot="1">
      <c r="A5" s="567"/>
      <c r="C5" s="489"/>
      <c r="D5" s="477"/>
      <c r="E5" s="478"/>
      <c r="F5" s="478"/>
      <c r="G5" s="478"/>
      <c r="H5" s="478"/>
      <c r="I5" s="478"/>
      <c r="J5" s="479"/>
      <c r="K5" s="448"/>
      <c r="L5" s="448"/>
      <c r="M5" s="448"/>
      <c r="N5" s="448"/>
      <c r="O5" s="448"/>
      <c r="P5" s="448"/>
    </row>
    <row r="6" spans="1:16" ht="23.25" customHeight="1" thickTop="1" thickBot="1">
      <c r="C6" s="489"/>
      <c r="D6" s="480"/>
      <c r="E6" s="643" t="s">
        <v>425</v>
      </c>
      <c r="F6" s="644"/>
      <c r="G6" s="448"/>
      <c r="H6" s="643" t="s">
        <v>426</v>
      </c>
      <c r="I6" s="644"/>
      <c r="J6" s="481"/>
      <c r="K6" s="448"/>
      <c r="L6" s="448"/>
      <c r="M6" s="448"/>
      <c r="N6" s="448"/>
      <c r="O6" s="448"/>
      <c r="P6" s="448"/>
    </row>
    <row r="7" spans="1:16" ht="4.5" customHeight="1" thickTop="1" thickBot="1">
      <c r="C7" s="489"/>
      <c r="D7" s="480"/>
      <c r="E7" s="448"/>
      <c r="F7" s="448"/>
      <c r="G7" s="448"/>
      <c r="H7" s="448"/>
      <c r="I7" s="448"/>
      <c r="J7" s="481"/>
      <c r="K7" s="448"/>
      <c r="L7" s="448"/>
      <c r="M7" s="448"/>
      <c r="N7" s="448"/>
      <c r="O7" s="448"/>
      <c r="P7" s="448"/>
    </row>
    <row r="8" spans="1:16" ht="23.25" customHeight="1" thickTop="1" thickBot="1">
      <c r="A8" s="567"/>
      <c r="B8" s="567"/>
      <c r="C8" s="489"/>
      <c r="D8" s="480"/>
      <c r="E8" s="645" t="s">
        <v>427</v>
      </c>
      <c r="F8" s="646"/>
      <c r="G8" s="448"/>
      <c r="H8" s="645" t="s">
        <v>428</v>
      </c>
      <c r="I8" s="646"/>
      <c r="J8" s="481"/>
      <c r="K8" s="448"/>
      <c r="L8" s="448"/>
      <c r="M8" s="448"/>
      <c r="N8" s="448"/>
      <c r="O8" s="448"/>
      <c r="P8" s="448"/>
    </row>
    <row r="9" spans="1:16" ht="4.5" customHeight="1" thickTop="1" thickBot="1">
      <c r="C9" s="489"/>
      <c r="D9" s="480"/>
      <c r="E9" s="448"/>
      <c r="F9" s="448"/>
      <c r="G9" s="448"/>
      <c r="H9" s="448"/>
      <c r="I9" s="448"/>
      <c r="J9" s="481"/>
      <c r="K9" s="448"/>
      <c r="L9" s="448"/>
      <c r="M9" s="448"/>
      <c r="N9" s="448"/>
      <c r="O9" s="448"/>
      <c r="P9" s="448"/>
    </row>
    <row r="10" spans="1:16" ht="23.25" customHeight="1" thickTop="1" thickBot="1">
      <c r="A10" s="567"/>
      <c r="C10" s="489"/>
      <c r="D10" s="480"/>
      <c r="E10" s="643" t="s">
        <v>429</v>
      </c>
      <c r="F10" s="644"/>
      <c r="G10" s="448"/>
      <c r="H10" s="643" t="s">
        <v>430</v>
      </c>
      <c r="I10" s="644"/>
      <c r="J10" s="481"/>
      <c r="K10" s="448"/>
      <c r="L10" s="448"/>
      <c r="M10" s="448"/>
      <c r="N10" s="448"/>
      <c r="O10" s="448"/>
      <c r="P10" s="448"/>
    </row>
    <row r="11" spans="1:16" ht="4.5" customHeight="1" thickTop="1" thickBot="1">
      <c r="C11" s="489"/>
      <c r="D11" s="480"/>
      <c r="E11" s="448"/>
      <c r="F11" s="448"/>
      <c r="G11" s="448"/>
      <c r="H11" s="448"/>
      <c r="I11" s="448"/>
      <c r="J11" s="481"/>
      <c r="K11" s="448"/>
      <c r="L11" s="448"/>
      <c r="M11" s="448"/>
      <c r="N11" s="448"/>
      <c r="O11" s="448"/>
      <c r="P11" s="448"/>
    </row>
    <row r="12" spans="1:16" ht="23.25" customHeight="1" thickTop="1" thickBot="1">
      <c r="C12" s="489"/>
      <c r="D12" s="480"/>
      <c r="E12" s="645" t="s">
        <v>431</v>
      </c>
      <c r="F12" s="646"/>
      <c r="G12" s="448"/>
      <c r="H12" s="645" t="s">
        <v>432</v>
      </c>
      <c r="I12" s="646"/>
      <c r="J12" s="481"/>
      <c r="K12" s="448"/>
      <c r="L12" s="448"/>
      <c r="M12" s="448"/>
      <c r="N12" s="448"/>
      <c r="O12" s="448"/>
      <c r="P12" s="448"/>
    </row>
    <row r="13" spans="1:16" ht="4.5" customHeight="1" thickTop="1" thickBot="1">
      <c r="C13" s="489"/>
      <c r="D13" s="480"/>
      <c r="E13" s="448"/>
      <c r="F13" s="448"/>
      <c r="G13" s="448"/>
      <c r="H13" s="448"/>
      <c r="I13" s="448"/>
      <c r="J13" s="481"/>
      <c r="K13" s="448"/>
      <c r="L13" s="448"/>
      <c r="M13" s="448"/>
      <c r="N13" s="448"/>
      <c r="O13" s="448"/>
      <c r="P13" s="448"/>
    </row>
    <row r="14" spans="1:16" ht="23.25" customHeight="1" thickTop="1" thickBot="1">
      <c r="C14" s="489"/>
      <c r="D14" s="480"/>
      <c r="E14" s="647" t="s">
        <v>433</v>
      </c>
      <c r="F14" s="648"/>
      <c r="G14" s="448"/>
      <c r="H14" s="647" t="s">
        <v>434</v>
      </c>
      <c r="I14" s="648"/>
      <c r="J14" s="481"/>
      <c r="K14" s="448"/>
      <c r="L14" s="448"/>
      <c r="M14" s="448"/>
      <c r="N14" s="448"/>
      <c r="O14" s="448"/>
      <c r="P14" s="448"/>
    </row>
    <row r="15" spans="1:16" ht="14.25" customHeight="1" thickTop="1" thickBot="1">
      <c r="C15" s="489"/>
      <c r="D15" s="482"/>
      <c r="E15" s="483"/>
      <c r="F15" s="483"/>
      <c r="G15" s="483"/>
      <c r="H15" s="483"/>
      <c r="I15" s="483"/>
      <c r="J15" s="484"/>
      <c r="K15" s="448"/>
      <c r="L15" s="448"/>
      <c r="M15" s="448"/>
      <c r="N15" s="448"/>
      <c r="O15" s="448"/>
      <c r="P15" s="448"/>
    </row>
    <row r="16" spans="1:16" ht="14.25" customHeight="1">
      <c r="C16" s="489"/>
      <c r="D16" s="448"/>
      <c r="E16" s="448"/>
      <c r="F16" s="448"/>
      <c r="G16" s="448"/>
      <c r="H16" s="448"/>
      <c r="I16" s="448"/>
      <c r="J16" s="448"/>
      <c r="K16" s="448"/>
      <c r="L16" s="448"/>
      <c r="M16" s="448"/>
      <c r="N16" s="448"/>
      <c r="O16" s="448"/>
      <c r="P16" s="448"/>
    </row>
    <row r="17" spans="3:16" ht="14.25" customHeight="1">
      <c r="C17" s="489"/>
      <c r="D17" s="448"/>
      <c r="E17" s="448"/>
      <c r="F17" s="448"/>
      <c r="G17" s="486"/>
      <c r="H17" s="448"/>
      <c r="I17" s="448"/>
      <c r="J17" s="448"/>
      <c r="K17" s="448"/>
      <c r="L17" s="448"/>
      <c r="M17" s="448"/>
      <c r="N17" s="448"/>
      <c r="O17" s="448"/>
      <c r="P17" s="448"/>
    </row>
    <row r="18" spans="3:16" ht="14.25" customHeight="1">
      <c r="C18" s="489"/>
      <c r="D18" s="448"/>
      <c r="E18" s="448"/>
      <c r="F18" s="448"/>
      <c r="G18" s="487"/>
      <c r="H18" s="448"/>
      <c r="I18" s="448"/>
      <c r="J18" s="448"/>
      <c r="K18" s="448"/>
      <c r="L18" s="448"/>
      <c r="M18" s="448"/>
      <c r="N18" s="448"/>
      <c r="O18" s="448"/>
      <c r="P18" s="448"/>
    </row>
    <row r="19" spans="3:16" ht="14.25" customHeight="1">
      <c r="C19" s="489"/>
      <c r="D19" s="448"/>
      <c r="E19" s="448"/>
      <c r="F19" s="448"/>
      <c r="G19" s="448"/>
      <c r="H19" s="448"/>
      <c r="I19" s="448"/>
      <c r="J19" s="448"/>
      <c r="K19" s="448"/>
      <c r="L19" s="448"/>
      <c r="M19" s="448"/>
      <c r="N19" s="448"/>
      <c r="O19" s="448"/>
      <c r="P19" s="448"/>
    </row>
    <row r="20" spans="3:16" ht="14.25" customHeight="1">
      <c r="C20" s="489"/>
      <c r="D20" s="448"/>
      <c r="E20" s="448"/>
      <c r="F20" s="448"/>
      <c r="G20" s="448"/>
      <c r="H20" s="448"/>
      <c r="I20" s="448"/>
      <c r="J20" s="448"/>
      <c r="K20" s="448"/>
      <c r="L20" s="448"/>
      <c r="M20" s="448"/>
      <c r="N20" s="448"/>
      <c r="O20" s="448"/>
      <c r="P20" s="448"/>
    </row>
    <row r="21" spans="3:16" ht="14.25" customHeight="1">
      <c r="C21" s="489"/>
      <c r="D21" s="448"/>
      <c r="E21" s="448"/>
      <c r="F21" s="448"/>
      <c r="G21" s="448"/>
      <c r="H21" s="448"/>
      <c r="I21" s="448"/>
      <c r="J21" s="448"/>
      <c r="K21" s="448"/>
      <c r="L21" s="448"/>
      <c r="M21" s="448"/>
      <c r="N21" s="448"/>
      <c r="O21" s="448"/>
      <c r="P21" s="448"/>
    </row>
    <row r="22" spans="3:16" ht="14.25" customHeight="1">
      <c r="C22" s="489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</row>
    <row r="23" spans="3:16" ht="14.25" customHeight="1">
      <c r="C23" s="489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</row>
    <row r="24" spans="3:16" ht="23">
      <c r="C24" s="489"/>
      <c r="D24" s="448"/>
      <c r="E24" s="448"/>
      <c r="F24" s="448"/>
      <c r="G24" s="448"/>
      <c r="H24" s="448"/>
      <c r="I24" s="448"/>
      <c r="J24" s="448"/>
      <c r="K24" s="448"/>
      <c r="L24" s="448"/>
      <c r="M24" s="448"/>
      <c r="N24" s="448"/>
      <c r="O24" s="448"/>
      <c r="P24" s="448"/>
    </row>
    <row r="25" spans="3:16" ht="23">
      <c r="C25" s="489"/>
      <c r="D25" s="448"/>
      <c r="E25" s="448"/>
      <c r="F25" s="448"/>
      <c r="G25" s="448"/>
      <c r="H25" s="448"/>
      <c r="I25" s="448"/>
      <c r="J25" s="448"/>
      <c r="K25" s="448"/>
      <c r="L25" s="448"/>
      <c r="M25" s="448"/>
      <c r="N25" s="448"/>
      <c r="O25" s="448"/>
      <c r="P25" s="448"/>
    </row>
    <row r="26" spans="3:16" ht="23">
      <c r="C26" s="489"/>
      <c r="D26" s="448"/>
      <c r="E26" s="448"/>
      <c r="F26" s="448"/>
      <c r="G26" s="448"/>
      <c r="H26" s="448"/>
      <c r="I26" s="448"/>
      <c r="J26" s="448"/>
      <c r="K26" s="448"/>
      <c r="L26" s="448"/>
      <c r="M26" s="448"/>
      <c r="N26" s="448"/>
      <c r="O26" s="448"/>
      <c r="P26" s="448"/>
    </row>
    <row r="27" spans="3:16" ht="23">
      <c r="C27" s="489"/>
      <c r="D27" s="448"/>
      <c r="E27" s="448"/>
      <c r="F27" s="448"/>
      <c r="G27" s="448"/>
      <c r="H27" s="448"/>
      <c r="I27" s="448"/>
      <c r="J27" s="448"/>
      <c r="K27" s="448"/>
      <c r="L27" s="448"/>
      <c r="M27" s="448"/>
      <c r="N27" s="448"/>
      <c r="O27" s="448"/>
      <c r="P27" s="448"/>
    </row>
    <row r="28" spans="3:16" ht="23">
      <c r="C28" s="489"/>
      <c r="D28" s="448"/>
      <c r="E28" s="448"/>
      <c r="F28" s="448"/>
      <c r="G28" s="448"/>
      <c r="H28" s="448"/>
      <c r="I28" s="448"/>
      <c r="J28" s="448"/>
      <c r="K28" s="448"/>
      <c r="L28" s="448"/>
      <c r="M28" s="448"/>
      <c r="N28" s="448"/>
      <c r="O28" s="448"/>
      <c r="P28" s="448"/>
    </row>
    <row r="29" spans="3:16" ht="23">
      <c r="C29" s="489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</row>
    <row r="30" spans="3:16" ht="23">
      <c r="C30" s="489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</row>
    <row r="31" spans="3:16" ht="23">
      <c r="C31" s="489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</row>
    <row r="32" spans="3:16" ht="23">
      <c r="C32" s="489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</row>
    <row r="33" spans="3:16" ht="23">
      <c r="C33" s="489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</row>
    <row r="34" spans="3:16" ht="23">
      <c r="C34" s="448"/>
      <c r="D34" s="448"/>
      <c r="E34" s="448"/>
      <c r="F34" s="448"/>
      <c r="G34" s="448"/>
      <c r="H34" s="448"/>
      <c r="I34" s="448"/>
      <c r="J34" s="448"/>
      <c r="K34" s="448"/>
      <c r="L34" s="448"/>
      <c r="M34" s="448"/>
      <c r="N34" s="448"/>
      <c r="O34" s="448"/>
      <c r="P34" s="448"/>
    </row>
    <row r="35" spans="3:16" hidden="1"/>
    <row r="36" spans="3:16" hidden="1"/>
    <row r="40" spans="3:16">
      <c r="D40" s="440"/>
    </row>
  </sheetData>
  <mergeCells count="10">
    <mergeCell ref="E6:F6"/>
    <mergeCell ref="H6:I6"/>
    <mergeCell ref="E8:F8"/>
    <mergeCell ref="H8:I8"/>
    <mergeCell ref="E14:F14"/>
    <mergeCell ref="H14:I14"/>
    <mergeCell ref="E10:F10"/>
    <mergeCell ref="H10:I10"/>
    <mergeCell ref="E12:F12"/>
    <mergeCell ref="H12:I12"/>
  </mergeCells>
  <phoneticPr fontId="3" type="noConversion"/>
  <hyperlinks>
    <hyperlink ref="E6:F6" location="工资计算!A1" display="工 资 计 算"/>
    <hyperlink ref="H6:I6" location="考勤表!A1" display="考 勤 表"/>
    <hyperlink ref="E8:F8" location="四联工资单!A1" display="四联工资单"/>
    <hyperlink ref="H8:I8" location="三联工资单!A1" display="三联工资单"/>
    <hyperlink ref="E10:F10" location="个税明细申报表!A1" display="个税明细申报"/>
    <hyperlink ref="H10:I10" location="个税报告!A1" display="个 税 报 告"/>
    <hyperlink ref="E12:F12" location="收入明细表!A1" display="收入明细表"/>
    <hyperlink ref="H12:I12" location="工资条2!A1" display="工  资  条"/>
    <hyperlink ref="E14:F14" location="节日!A1" display="节    日"/>
    <hyperlink ref="H14:I14" location="使用说明!A1" display="使 用 说 明"/>
  </hyperlinks>
  <pageMargins left="0.75" right="0.75" top="1" bottom="1" header="0.5" footer="0.5"/>
  <pageSetup paperSize="9" orientation="portrait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参数!$C$5:$C$87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76"/>
  <sheetViews>
    <sheetView showZeros="0" tabSelected="1" topLeftCell="W1" zoomScaleSheetLayoutView="190" workbookViewId="0">
      <selection activeCell="AI3" sqref="AI3"/>
    </sheetView>
  </sheetViews>
  <sheetFormatPr defaultColWidth="9" defaultRowHeight="15"/>
  <cols>
    <col min="1" max="1" width="12.58203125" style="80" customWidth="1"/>
    <col min="2" max="2" width="8.25" style="81" customWidth="1"/>
    <col min="3" max="8" width="3.08203125" style="81" customWidth="1"/>
    <col min="9" max="9" width="7.75" style="81" customWidth="1"/>
    <col min="10" max="10" width="32.08203125" style="81" customWidth="1"/>
    <col min="11" max="11" width="10.5" style="81" customWidth="1"/>
    <col min="12" max="12" width="9.25" style="81" customWidth="1"/>
    <col min="13" max="18" width="8" style="81" customWidth="1"/>
    <col min="19" max="19" width="5.5" style="81" customWidth="1"/>
    <col min="20" max="20" width="7.75" style="81" customWidth="1"/>
    <col min="21" max="21" width="8.08203125" style="81" customWidth="1"/>
    <col min="22" max="22" width="8" style="81" customWidth="1"/>
    <col min="23" max="23" width="8.25" style="81" customWidth="1"/>
    <col min="24" max="25" width="10.75" style="81" customWidth="1"/>
    <col min="26" max="26" width="9" style="81" customWidth="1"/>
    <col min="27" max="27" width="8.58203125" style="81" customWidth="1"/>
    <col min="28" max="28" width="9.25" style="81" customWidth="1"/>
    <col min="29" max="34" width="9.58203125" style="81" customWidth="1"/>
    <col min="35" max="35" width="9.5" style="81" customWidth="1"/>
    <col min="36" max="36" width="11" style="81" customWidth="1"/>
    <col min="37" max="37" width="15.33203125" style="81" customWidth="1"/>
    <col min="38" max="38" width="3.25" style="81" customWidth="1"/>
    <col min="39" max="39" width="10.75" style="81" customWidth="1"/>
    <col min="40" max="41" width="3.25" style="81" customWidth="1"/>
    <col min="42" max="42" width="15.75" style="81" customWidth="1"/>
    <col min="43" max="43" width="14.25" style="81" customWidth="1"/>
    <col min="44" max="44" width="7.25" style="81" customWidth="1"/>
    <col min="45" max="45" width="29.25" style="81" customWidth="1"/>
    <col min="46" max="46" width="7.25" style="81" customWidth="1"/>
    <col min="47" max="61" width="10.75" style="81" customWidth="1"/>
    <col min="62" max="62" width="5.33203125" style="81" bestFit="1" customWidth="1"/>
    <col min="63" max="63" width="23.25" style="81" bestFit="1" customWidth="1"/>
    <col min="64" max="66" width="10.75" style="81" customWidth="1"/>
    <col min="67" max="67" width="10.75" style="84" customWidth="1"/>
    <col min="68" max="68" width="10.5" style="80" customWidth="1"/>
    <col min="69" max="16384" width="9" style="80"/>
  </cols>
  <sheetData>
    <row r="1" spans="1:68" s="2" customFormat="1" ht="48" customHeight="1" thickBot="1">
      <c r="B1" s="3"/>
      <c r="C1" s="4"/>
      <c r="D1" s="4"/>
      <c r="E1" s="4"/>
      <c r="F1" s="4"/>
      <c r="G1" s="4"/>
      <c r="H1" s="4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6">
        <v>1</v>
      </c>
      <c r="AR1" s="7"/>
      <c r="AS1" s="8" t="s">
        <v>1021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9" t="s">
        <v>0</v>
      </c>
      <c r="BJ1" s="10">
        <v>5000</v>
      </c>
      <c r="BK1" s="7"/>
      <c r="BL1" s="7"/>
      <c r="BM1" s="7"/>
      <c r="BN1" s="7"/>
      <c r="BO1" s="11"/>
    </row>
    <row r="2" spans="1:68" s="26" customFormat="1" ht="45" customHeight="1" thickBot="1">
      <c r="A2" s="475" t="s">
        <v>1016</v>
      </c>
      <c r="B2" s="12" t="s">
        <v>1018</v>
      </c>
      <c r="C2" s="13" t="s">
        <v>1</v>
      </c>
      <c r="D2" s="13" t="s">
        <v>2</v>
      </c>
      <c r="E2" s="13" t="s">
        <v>3</v>
      </c>
      <c r="F2" s="13" t="s">
        <v>1001</v>
      </c>
      <c r="G2" s="13" t="s">
        <v>1002</v>
      </c>
      <c r="H2" s="13" t="s">
        <v>4</v>
      </c>
      <c r="I2" s="14" t="s">
        <v>5</v>
      </c>
      <c r="J2" s="14" t="s">
        <v>699</v>
      </c>
      <c r="K2" s="14" t="s">
        <v>6</v>
      </c>
      <c r="L2" s="14" t="s">
        <v>7</v>
      </c>
      <c r="M2" s="15" t="s">
        <v>8</v>
      </c>
      <c r="N2" s="15" t="s">
        <v>9</v>
      </c>
      <c r="O2" s="15" t="s">
        <v>10</v>
      </c>
      <c r="P2" s="15" t="s">
        <v>11</v>
      </c>
      <c r="Q2" s="15" t="s">
        <v>12</v>
      </c>
      <c r="R2" s="15" t="s">
        <v>13</v>
      </c>
      <c r="S2" s="14" t="s">
        <v>14</v>
      </c>
      <c r="T2" s="16" t="s">
        <v>15</v>
      </c>
      <c r="U2" s="13" t="s">
        <v>16</v>
      </c>
      <c r="V2" s="13" t="s">
        <v>17</v>
      </c>
      <c r="W2" s="13" t="s">
        <v>18</v>
      </c>
      <c r="X2" s="13" t="s">
        <v>19</v>
      </c>
      <c r="Y2" s="13" t="s">
        <v>1013</v>
      </c>
      <c r="Z2" s="13" t="s">
        <v>20</v>
      </c>
      <c r="AA2" s="13" t="s">
        <v>21</v>
      </c>
      <c r="AB2" s="13" t="s">
        <v>22</v>
      </c>
      <c r="AC2" s="13" t="s">
        <v>1003</v>
      </c>
      <c r="AD2" s="13" t="s">
        <v>1004</v>
      </c>
      <c r="AE2" s="13" t="s">
        <v>1005</v>
      </c>
      <c r="AF2" s="13" t="s">
        <v>1006</v>
      </c>
      <c r="AG2" s="13" t="s">
        <v>1008</v>
      </c>
      <c r="AH2" s="13" t="s">
        <v>1011</v>
      </c>
      <c r="AI2" s="13" t="s">
        <v>1007</v>
      </c>
      <c r="AJ2" s="13" t="s">
        <v>23</v>
      </c>
      <c r="AK2" s="13"/>
      <c r="AL2" s="13"/>
      <c r="AM2" s="17" t="s">
        <v>24</v>
      </c>
      <c r="AN2" s="18"/>
      <c r="AO2" s="13"/>
      <c r="AP2" s="19" t="s">
        <v>25</v>
      </c>
      <c r="AQ2" s="20" t="s">
        <v>26</v>
      </c>
      <c r="AR2" s="21" t="s">
        <v>27</v>
      </c>
      <c r="AS2" s="22" t="s">
        <v>28</v>
      </c>
      <c r="AT2" s="22" t="s">
        <v>5</v>
      </c>
      <c r="AU2" s="22" t="s">
        <v>29</v>
      </c>
      <c r="AV2" s="22" t="s">
        <v>30</v>
      </c>
      <c r="AW2" s="22" t="s">
        <v>31</v>
      </c>
      <c r="AX2" s="22" t="s">
        <v>29</v>
      </c>
      <c r="AY2" s="22" t="s">
        <v>32</v>
      </c>
      <c r="AZ2" s="22" t="s">
        <v>33</v>
      </c>
      <c r="BA2" s="22" t="s">
        <v>34</v>
      </c>
      <c r="BB2" s="22" t="s">
        <v>35</v>
      </c>
      <c r="BC2" s="22" t="s">
        <v>36</v>
      </c>
      <c r="BD2" s="22" t="s">
        <v>37</v>
      </c>
      <c r="BE2" s="22" t="s">
        <v>38</v>
      </c>
      <c r="BF2" s="22" t="s">
        <v>39</v>
      </c>
      <c r="BG2" s="22" t="s">
        <v>40</v>
      </c>
      <c r="BH2" s="22" t="s">
        <v>41</v>
      </c>
      <c r="BI2" s="23"/>
      <c r="BJ2" s="22" t="s">
        <v>42</v>
      </c>
      <c r="BK2" s="22" t="s">
        <v>43</v>
      </c>
      <c r="BL2" s="22" t="s">
        <v>44</v>
      </c>
      <c r="BM2" s="22" t="s">
        <v>45</v>
      </c>
      <c r="BN2" s="22" t="s">
        <v>46</v>
      </c>
      <c r="BO2" s="24" t="s">
        <v>44</v>
      </c>
      <c r="BP2" s="25"/>
    </row>
    <row r="3" spans="1:68" s="47" customFormat="1" ht="19.149999999999999" customHeight="1">
      <c r="A3" s="27" t="s">
        <v>1017</v>
      </c>
      <c r="B3" s="28" t="s">
        <v>47</v>
      </c>
      <c r="C3" s="29">
        <v>1</v>
      </c>
      <c r="D3" s="29">
        <v>1</v>
      </c>
      <c r="E3" s="29">
        <v>1</v>
      </c>
      <c r="F3" s="29">
        <v>1</v>
      </c>
      <c r="G3" s="29">
        <v>1</v>
      </c>
      <c r="H3" s="29">
        <v>1</v>
      </c>
      <c r="I3" s="608" t="s">
        <v>1023</v>
      </c>
      <c r="J3" s="609" t="s">
        <v>1019</v>
      </c>
      <c r="K3" s="622">
        <v>300</v>
      </c>
      <c r="L3" s="623"/>
      <c r="M3" s="623"/>
      <c r="N3" s="623"/>
      <c r="O3" s="619"/>
      <c r="P3" s="619"/>
      <c r="Q3" s="619"/>
      <c r="R3" s="619"/>
      <c r="S3" s="619"/>
      <c r="T3" s="619"/>
      <c r="U3" s="619"/>
      <c r="V3" s="619"/>
      <c r="W3" s="621"/>
      <c r="X3" s="31">
        <v>3560.8</v>
      </c>
      <c r="Y3" s="31">
        <v>4292</v>
      </c>
      <c r="Z3" s="30">
        <v>343.4</v>
      </c>
      <c r="AA3" s="30">
        <v>21.5</v>
      </c>
      <c r="AB3" s="30">
        <v>85.9</v>
      </c>
      <c r="AC3" s="30">
        <v>210</v>
      </c>
      <c r="AD3" s="30">
        <v>858.4</v>
      </c>
      <c r="AE3" s="30">
        <v>21.5</v>
      </c>
      <c r="AF3" s="30">
        <v>407.75</v>
      </c>
      <c r="AG3" s="30">
        <v>4.3</v>
      </c>
      <c r="AH3" s="30">
        <v>42.95</v>
      </c>
      <c r="AI3" s="30">
        <v>210</v>
      </c>
      <c r="AJ3" s="32">
        <f>AY3</f>
        <v>0</v>
      </c>
      <c r="AK3" s="32"/>
      <c r="AL3" s="32"/>
      <c r="AM3" s="33">
        <f>X3-Z3-AA3-AB3-AC3-AJ3-AK3-AL3</f>
        <v>2900</v>
      </c>
      <c r="AN3" s="34"/>
      <c r="AO3" s="30"/>
      <c r="AP3" s="35"/>
      <c r="AQ3" s="36"/>
      <c r="AR3" s="37" t="s">
        <v>49</v>
      </c>
      <c r="AS3" s="628"/>
      <c r="AT3" s="39" t="str">
        <f>IF(AW3=0," ",I3)</f>
        <v xml:space="preserve"> </v>
      </c>
      <c r="AU3" s="39">
        <f t="shared" ref="AU3" si="0">IF(AW3&lt;=0,0,IF(AW3&lt;500,0.05,IF(AW3&lt;2000,0.1,IF(AW3&lt;5000,0.15,IF(AW3&lt;20000,0.2,IF(AW3&lt;40000,0.25,IF(AW3&lt;60000,0.3,IF(AW3&lt;80000,0.35,0.4))))))))</f>
        <v>0</v>
      </c>
      <c r="AV3" s="40">
        <f>IF(X3-Z3-AA3-AB3-AC3-$BJ$1&lt;=0,0,X3)</f>
        <v>0</v>
      </c>
      <c r="AW3" s="40">
        <f>IF(AV3=0,0,IF(AV3&gt;$BK$1,AV3-$BJ$1-Z3-AA3-AB3-AC3))</f>
        <v>0</v>
      </c>
      <c r="AX3" s="41">
        <f t="shared" ref="AX3:AX8" si="1">IF(AY3=0,0,VLOOKUP(AW3,$BL$3:$BN$9,2))</f>
        <v>0</v>
      </c>
      <c r="AY3" s="42">
        <f t="shared" ref="AY3:AY8" si="2">AW3*VLOOKUP(AW3,$BL$3:$BN$9,2)-VLOOKUP(AW3,$BL$3:$BN$9,3)</f>
        <v>0</v>
      </c>
      <c r="AZ3" s="39">
        <f>IF(AX3=0.05,AJ3,0)</f>
        <v>0</v>
      </c>
      <c r="BA3" s="39">
        <f>IF(AX3=0.1,AJ3,0)</f>
        <v>0</v>
      </c>
      <c r="BB3" s="39">
        <f>IF(AX3=0.15,AJ3,0)</f>
        <v>0</v>
      </c>
      <c r="BC3" s="39">
        <f>IF(AX3=0.2,AJ3,0)</f>
        <v>0</v>
      </c>
      <c r="BD3" s="39">
        <f>IF(AX3=0.25,AJ3,0)</f>
        <v>0</v>
      </c>
      <c r="BE3" s="39">
        <f>IF(AX3=0.3,AJ3,0)</f>
        <v>0</v>
      </c>
      <c r="BF3" s="39">
        <f>IF(AX3=0.35,AJ3,0)</f>
        <v>0</v>
      </c>
      <c r="BG3" s="39">
        <f>IF(AX3=0.4,AJ3,0)</f>
        <v>0</v>
      </c>
      <c r="BH3" s="39">
        <f>IF(AX3=0.45,AJ3,0)</f>
        <v>0</v>
      </c>
      <c r="BI3" s="43"/>
      <c r="BJ3" s="44">
        <v>1</v>
      </c>
      <c r="BK3" s="45" t="s">
        <v>1025</v>
      </c>
      <c r="BL3" s="45">
        <v>0</v>
      </c>
      <c r="BM3" s="45">
        <v>0.03</v>
      </c>
      <c r="BN3" s="45">
        <v>0</v>
      </c>
      <c r="BO3" s="46">
        <f t="shared" ref="BO3" si="3">VLOOKUP(AW3,$BL$3:$BL$9,1)</f>
        <v>0</v>
      </c>
    </row>
    <row r="4" spans="1:68" s="47" customFormat="1" ht="19.149999999999999" customHeight="1">
      <c r="A4" s="625" t="s">
        <v>1022</v>
      </c>
      <c r="B4" s="49" t="s">
        <v>50</v>
      </c>
      <c r="C4" s="29">
        <v>1</v>
      </c>
      <c r="D4" s="29">
        <v>1</v>
      </c>
      <c r="E4" s="29">
        <v>1</v>
      </c>
      <c r="F4" s="29">
        <v>1</v>
      </c>
      <c r="G4" s="29">
        <v>1</v>
      </c>
      <c r="H4" s="29">
        <v>1</v>
      </c>
      <c r="I4" s="608" t="s">
        <v>1024</v>
      </c>
      <c r="J4" s="609" t="s">
        <v>1019</v>
      </c>
      <c r="K4" s="610">
        <v>1000</v>
      </c>
      <c r="L4" s="611"/>
      <c r="M4" s="611"/>
      <c r="N4" s="611"/>
      <c r="O4" s="619"/>
      <c r="P4" s="619"/>
      <c r="Q4" s="619"/>
      <c r="R4" s="619"/>
      <c r="S4" s="619"/>
      <c r="T4" s="619"/>
      <c r="U4" s="619"/>
      <c r="V4" s="619"/>
      <c r="W4" s="621"/>
      <c r="X4" s="31">
        <v>3040.8</v>
      </c>
      <c r="Y4" s="31">
        <v>4292</v>
      </c>
      <c r="Z4" s="30">
        <v>343.4</v>
      </c>
      <c r="AA4" s="30">
        <v>21.5</v>
      </c>
      <c r="AB4" s="30">
        <v>85.9</v>
      </c>
      <c r="AC4" s="30">
        <v>210</v>
      </c>
      <c r="AD4" s="30">
        <v>858.4</v>
      </c>
      <c r="AE4" s="30">
        <v>21.5</v>
      </c>
      <c r="AF4" s="30">
        <v>407.75</v>
      </c>
      <c r="AG4" s="30">
        <v>4.3</v>
      </c>
      <c r="AH4" s="30">
        <v>42.95</v>
      </c>
      <c r="AI4" s="30">
        <v>210</v>
      </c>
      <c r="AJ4" s="32">
        <f t="shared" ref="AJ4:AJ5" si="4">AY4</f>
        <v>0</v>
      </c>
      <c r="AK4" s="32"/>
      <c r="AL4" s="32"/>
      <c r="AM4" s="33">
        <f t="shared" ref="AM4:AM5" si="5">X4-Z4-AA4-AB4-AC4-AJ4-AK4-AL4</f>
        <v>2380</v>
      </c>
      <c r="AN4" s="34"/>
      <c r="AO4" s="30"/>
      <c r="AP4" s="35"/>
      <c r="AQ4" s="36"/>
      <c r="AR4" s="37" t="s">
        <v>49</v>
      </c>
      <c r="AS4" s="628"/>
      <c r="AT4" s="39" t="str">
        <f t="shared" ref="AT4:AT8" si="6">IF(AW4=0," ",I4)</f>
        <v xml:space="preserve"> </v>
      </c>
      <c r="AU4" s="39">
        <f t="shared" ref="AU4:AU8" si="7">IF(AW4&lt;=0,0,IF(AW4&lt;500,0.05,IF(AW4&lt;2000,0.1,IF(AW4&lt;5000,0.15,IF(AW4&lt;20000,0.2,IF(AW4&lt;40000,0.25,IF(AW4&lt;60000,0.3,IF(AW4&lt;80000,0.35,0.4))))))))</f>
        <v>0</v>
      </c>
      <c r="AV4" s="40">
        <f t="shared" ref="AV4:AV8" si="8">IF(X4-Z4-AA4-AB4-AC4-$BJ$1&lt;=0,0,X4)</f>
        <v>0</v>
      </c>
      <c r="AW4" s="40">
        <f t="shared" ref="AW4:AW8" si="9">IF(AV4=0,0,IF(AV4&gt;$BK$1,AV4-$BJ$1-Z4-AA4-AB4-AC4))</f>
        <v>0</v>
      </c>
      <c r="AX4" s="41">
        <f t="shared" si="1"/>
        <v>0</v>
      </c>
      <c r="AY4" s="42">
        <f t="shared" si="2"/>
        <v>0</v>
      </c>
      <c r="AZ4" s="39">
        <f t="shared" ref="AZ4:AZ8" si="10">IF(AX4=0.05,AJ4,0)</f>
        <v>0</v>
      </c>
      <c r="BA4" s="39">
        <f t="shared" ref="BA4:BA8" si="11">IF(AX4=0.1,AJ4,0)</f>
        <v>0</v>
      </c>
      <c r="BB4" s="39">
        <f t="shared" ref="BB4:BB8" si="12">IF(AX4=0.15,AJ4,0)</f>
        <v>0</v>
      </c>
      <c r="BC4" s="39">
        <f t="shared" ref="BC4:BC8" si="13">IF(AX4=0.2,AJ4,0)</f>
        <v>0</v>
      </c>
      <c r="BD4" s="39">
        <f t="shared" ref="BD4:BD8" si="14">IF(AX4=0.25,AJ4,0)</f>
        <v>0</v>
      </c>
      <c r="BE4" s="39">
        <f t="shared" ref="BE4:BE8" si="15">IF(AX4=0.3,AJ4,0)</f>
        <v>0</v>
      </c>
      <c r="BF4" s="39">
        <f t="shared" ref="BF4:BF8" si="16">IF(AX4=0.35,AJ4,0)</f>
        <v>0</v>
      </c>
      <c r="BG4" s="39">
        <f t="shared" ref="BG4:BG8" si="17">IF(AX4=0.4,AJ4,0)</f>
        <v>0</v>
      </c>
      <c r="BH4" s="39">
        <f t="shared" ref="BH4:BH8" si="18">IF(AX4=0.45,AJ4,0)</f>
        <v>0</v>
      </c>
      <c r="BI4" s="43"/>
      <c r="BJ4" s="63">
        <v>2</v>
      </c>
      <c r="BK4" s="64" t="s">
        <v>1026</v>
      </c>
      <c r="BL4" s="64">
        <v>3000</v>
      </c>
      <c r="BM4" s="64">
        <v>0.1</v>
      </c>
      <c r="BN4" s="64">
        <v>210</v>
      </c>
      <c r="BO4" s="46">
        <f>VLOOKUP(AW4,$BL$3:$BL$9,1)</f>
        <v>0</v>
      </c>
    </row>
    <row r="5" spans="1:68" s="47" customFormat="1" ht="19.149999999999999" customHeight="1">
      <c r="A5" s="27"/>
      <c r="B5" s="49"/>
      <c r="C5" s="29"/>
      <c r="D5" s="29"/>
      <c r="E5" s="29"/>
      <c r="F5" s="29"/>
      <c r="G5" s="29"/>
      <c r="H5" s="29"/>
      <c r="I5" s="608"/>
      <c r="J5" s="609"/>
      <c r="K5" s="610"/>
      <c r="L5" s="611"/>
      <c r="M5" s="611"/>
      <c r="N5" s="611"/>
      <c r="O5" s="619"/>
      <c r="P5" s="619"/>
      <c r="Q5" s="619"/>
      <c r="R5" s="619"/>
      <c r="S5" s="619"/>
      <c r="T5" s="619"/>
      <c r="U5" s="619"/>
      <c r="V5" s="619"/>
      <c r="W5" s="621"/>
      <c r="X5" s="31"/>
      <c r="Y5" s="31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2"/>
      <c r="AK5" s="32"/>
      <c r="AL5" s="32"/>
      <c r="AM5" s="33"/>
      <c r="AN5" s="34"/>
      <c r="AO5" s="30"/>
      <c r="AP5" s="35"/>
      <c r="AQ5" s="36"/>
      <c r="AR5" s="37"/>
      <c r="AS5" s="628"/>
      <c r="AT5" s="39"/>
      <c r="AU5" s="39"/>
      <c r="AV5" s="40"/>
      <c r="AW5" s="40"/>
      <c r="AX5" s="41"/>
      <c r="AY5" s="42"/>
      <c r="AZ5" s="39"/>
      <c r="BA5" s="39"/>
      <c r="BB5" s="39"/>
      <c r="BC5" s="39"/>
      <c r="BD5" s="39"/>
      <c r="BE5" s="39"/>
      <c r="BF5" s="39"/>
      <c r="BG5" s="39"/>
      <c r="BH5" s="39"/>
      <c r="BI5" s="43"/>
      <c r="BJ5" s="63"/>
      <c r="BK5" s="64"/>
      <c r="BL5" s="64"/>
      <c r="BM5" s="64"/>
      <c r="BN5" s="64"/>
      <c r="BO5" s="46"/>
    </row>
    <row r="6" spans="1:68" s="47" customFormat="1" ht="19.149999999999999" customHeight="1">
      <c r="A6" s="27"/>
      <c r="B6" s="28"/>
      <c r="C6" s="29"/>
      <c r="D6" s="29"/>
      <c r="E6" s="29"/>
      <c r="F6" s="29"/>
      <c r="G6" s="29"/>
      <c r="H6" s="29"/>
      <c r="I6" s="608"/>
      <c r="J6" s="609"/>
      <c r="K6" s="610"/>
      <c r="L6" s="611"/>
      <c r="M6" s="611"/>
      <c r="N6" s="611"/>
      <c r="O6" s="619"/>
      <c r="P6" s="619"/>
      <c r="Q6" s="619"/>
      <c r="R6" s="619"/>
      <c r="S6" s="619"/>
      <c r="T6" s="619"/>
      <c r="U6" s="619"/>
      <c r="V6" s="619"/>
      <c r="W6" s="621"/>
      <c r="X6" s="31"/>
      <c r="Y6" s="31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2"/>
      <c r="AK6" s="32"/>
      <c r="AL6" s="32"/>
      <c r="AM6" s="33"/>
      <c r="AN6" s="34"/>
      <c r="AO6" s="30"/>
      <c r="AP6" s="35"/>
      <c r="AQ6" s="36"/>
      <c r="AR6" s="613"/>
      <c r="AS6" s="629"/>
      <c r="AT6" s="39"/>
      <c r="AU6" s="39"/>
      <c r="AV6" s="40"/>
      <c r="AW6" s="40"/>
      <c r="AX6" s="41"/>
      <c r="AY6" s="42"/>
      <c r="AZ6" s="39"/>
      <c r="BA6" s="39"/>
      <c r="BB6" s="39"/>
      <c r="BC6" s="39"/>
      <c r="BD6" s="39"/>
      <c r="BE6" s="39"/>
      <c r="BF6" s="39"/>
      <c r="BG6" s="39"/>
      <c r="BH6" s="39"/>
      <c r="BI6" s="43"/>
      <c r="BJ6" s="63"/>
      <c r="BK6" s="64"/>
      <c r="BL6" s="64"/>
      <c r="BM6" s="64"/>
      <c r="BN6" s="64"/>
      <c r="BO6" s="46"/>
    </row>
    <row r="7" spans="1:68" s="47" customFormat="1" ht="19.149999999999999" customHeight="1">
      <c r="A7" s="624"/>
      <c r="B7" s="49"/>
      <c r="C7" s="29"/>
      <c r="D7" s="29"/>
      <c r="E7" s="29"/>
      <c r="F7" s="29"/>
      <c r="G7" s="29"/>
      <c r="H7" s="29"/>
      <c r="I7" s="608"/>
      <c r="J7" s="609"/>
      <c r="K7" s="610"/>
      <c r="L7" s="608"/>
      <c r="M7" s="608"/>
      <c r="N7" s="608"/>
      <c r="O7" s="619"/>
      <c r="P7" s="619"/>
      <c r="Q7" s="619"/>
      <c r="R7" s="619"/>
      <c r="S7" s="619"/>
      <c r="T7" s="619"/>
      <c r="U7" s="619"/>
      <c r="V7" s="619"/>
      <c r="W7" s="621"/>
      <c r="X7" s="31"/>
      <c r="Y7" s="31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2"/>
      <c r="AK7" s="32"/>
      <c r="AL7" s="32"/>
      <c r="AM7" s="33"/>
      <c r="AN7" s="34"/>
      <c r="AO7" s="30"/>
      <c r="AP7" s="35"/>
      <c r="AQ7" s="36"/>
      <c r="AR7" s="37"/>
      <c r="AS7" s="628"/>
      <c r="AT7" s="39"/>
      <c r="AU7" s="39"/>
      <c r="AV7" s="40"/>
      <c r="AW7" s="40"/>
      <c r="AX7" s="41"/>
      <c r="AY7" s="42"/>
      <c r="AZ7" s="39"/>
      <c r="BA7" s="39"/>
      <c r="BB7" s="39"/>
      <c r="BC7" s="39"/>
      <c r="BD7" s="39"/>
      <c r="BE7" s="39"/>
      <c r="BF7" s="39"/>
      <c r="BG7" s="39"/>
      <c r="BH7" s="39"/>
      <c r="BI7" s="43"/>
      <c r="BJ7" s="63"/>
      <c r="BK7" s="64"/>
      <c r="BL7" s="64"/>
      <c r="BM7" s="64"/>
      <c r="BN7" s="64"/>
      <c r="BO7" s="46"/>
    </row>
    <row r="8" spans="1:68" s="47" customFormat="1" ht="19.149999999999999" customHeight="1">
      <c r="A8" s="626"/>
      <c r="B8" s="49"/>
      <c r="C8" s="29"/>
      <c r="D8" s="29"/>
      <c r="E8" s="29"/>
      <c r="F8" s="29"/>
      <c r="G8" s="29"/>
      <c r="H8" s="29"/>
      <c r="I8" s="608"/>
      <c r="J8" s="609"/>
      <c r="K8" s="610"/>
      <c r="L8" s="608"/>
      <c r="M8" s="608"/>
      <c r="N8" s="608"/>
      <c r="O8" s="619"/>
      <c r="P8" s="619"/>
      <c r="Q8" s="619"/>
      <c r="R8" s="619"/>
      <c r="S8" s="619"/>
      <c r="T8" s="619"/>
      <c r="U8" s="619"/>
      <c r="V8" s="619"/>
      <c r="W8" s="621"/>
      <c r="X8" s="31"/>
      <c r="Y8" s="31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2"/>
      <c r="AK8" s="32"/>
      <c r="AL8" s="32"/>
      <c r="AM8" s="33"/>
      <c r="AN8" s="34"/>
      <c r="AO8" s="30"/>
      <c r="AP8" s="35"/>
      <c r="AQ8" s="36"/>
      <c r="AR8" s="612"/>
      <c r="AS8" s="628"/>
      <c r="AT8" s="39"/>
      <c r="AU8" s="39"/>
      <c r="AV8" s="40"/>
      <c r="AW8" s="40"/>
      <c r="AX8" s="41"/>
      <c r="AY8" s="42"/>
      <c r="AZ8" s="39"/>
      <c r="BA8" s="39"/>
      <c r="BB8" s="39"/>
      <c r="BC8" s="39"/>
      <c r="BD8" s="39"/>
      <c r="BE8" s="39"/>
      <c r="BF8" s="39"/>
      <c r="BG8" s="39"/>
      <c r="BH8" s="39"/>
      <c r="BI8" s="43"/>
      <c r="BJ8" s="63"/>
      <c r="BK8" s="64"/>
      <c r="BL8" s="64"/>
      <c r="BM8" s="64"/>
      <c r="BN8" s="64"/>
      <c r="BO8" s="46"/>
    </row>
    <row r="9" spans="1:68" s="47" customFormat="1" ht="19.149999999999999" customHeight="1">
      <c r="A9" s="624"/>
      <c r="B9" s="49"/>
      <c r="C9" s="29"/>
      <c r="D9" s="29"/>
      <c r="E9" s="29"/>
      <c r="F9" s="29"/>
      <c r="G9" s="29"/>
      <c r="H9" s="29"/>
      <c r="I9" s="627"/>
      <c r="J9" s="609"/>
      <c r="K9" s="610"/>
      <c r="L9" s="608"/>
      <c r="M9" s="608"/>
      <c r="N9" s="608"/>
      <c r="O9" s="619"/>
      <c r="P9" s="619"/>
      <c r="Q9" s="619"/>
      <c r="R9" s="619"/>
      <c r="S9" s="619"/>
      <c r="T9" s="619"/>
      <c r="U9" s="619"/>
      <c r="V9" s="619"/>
      <c r="W9" s="621"/>
      <c r="X9" s="31"/>
      <c r="Y9" s="31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2"/>
      <c r="AK9" s="32"/>
      <c r="AL9" s="32"/>
      <c r="AM9" s="33"/>
      <c r="AN9" s="34"/>
      <c r="AO9" s="30"/>
      <c r="AP9" s="35"/>
      <c r="AQ9" s="36"/>
      <c r="AR9" s="612"/>
      <c r="AS9" s="628"/>
      <c r="AT9" s="39"/>
      <c r="AU9" s="39"/>
      <c r="AV9" s="40"/>
      <c r="AW9" s="40"/>
      <c r="AX9" s="41"/>
      <c r="AY9" s="42"/>
      <c r="AZ9" s="39"/>
      <c r="BA9" s="39"/>
      <c r="BB9" s="39"/>
      <c r="BC9" s="39"/>
      <c r="BD9" s="39"/>
      <c r="BE9" s="39"/>
      <c r="BF9" s="39"/>
      <c r="BG9" s="39"/>
      <c r="BH9" s="39"/>
      <c r="BI9" s="43"/>
      <c r="BJ9" s="63"/>
      <c r="BK9" s="64"/>
      <c r="BL9" s="64"/>
      <c r="BM9" s="64"/>
      <c r="BN9" s="64"/>
      <c r="BO9" s="46"/>
    </row>
    <row r="10" spans="1:68" s="47" customFormat="1" ht="19.149999999999999" customHeight="1">
      <c r="A10" s="624"/>
      <c r="B10" s="49"/>
      <c r="C10" s="29"/>
      <c r="D10" s="29"/>
      <c r="E10" s="29"/>
      <c r="F10" s="29"/>
      <c r="G10" s="29"/>
      <c r="H10" s="29"/>
      <c r="I10" s="630"/>
      <c r="J10" s="609"/>
      <c r="K10" s="52"/>
      <c r="L10" s="616"/>
      <c r="M10" s="616"/>
      <c r="N10" s="616"/>
      <c r="O10" s="616"/>
      <c r="P10" s="616"/>
      <c r="Q10" s="616"/>
      <c r="R10" s="616"/>
      <c r="S10" s="617"/>
      <c r="T10" s="618"/>
      <c r="U10" s="619"/>
      <c r="V10" s="620"/>
      <c r="W10" s="621"/>
      <c r="X10" s="31"/>
      <c r="Y10" s="31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2"/>
      <c r="AK10" s="32"/>
      <c r="AL10" s="32"/>
      <c r="AM10" s="33"/>
      <c r="AN10" s="34"/>
      <c r="AO10" s="30"/>
      <c r="AP10" s="35"/>
      <c r="AQ10" s="36"/>
      <c r="AR10" s="612"/>
      <c r="AS10" s="38"/>
      <c r="AT10" s="39"/>
      <c r="AU10" s="39"/>
      <c r="AV10" s="40"/>
      <c r="AW10" s="40"/>
      <c r="AX10" s="41"/>
      <c r="AY10" s="42"/>
      <c r="AZ10" s="39"/>
      <c r="BA10" s="39"/>
      <c r="BB10" s="39"/>
      <c r="BC10" s="39"/>
      <c r="BD10" s="39"/>
      <c r="BE10" s="39"/>
      <c r="BF10" s="39"/>
      <c r="BG10" s="39"/>
      <c r="BH10" s="39"/>
      <c r="BI10" s="43"/>
      <c r="BJ10" s="63"/>
      <c r="BK10" s="64"/>
      <c r="BL10" s="64"/>
      <c r="BM10" s="64"/>
      <c r="BN10" s="64"/>
      <c r="BO10" s="46"/>
    </row>
    <row r="11" spans="1:68" s="47" customFormat="1" ht="19.149999999999999" customHeight="1">
      <c r="A11" s="624"/>
      <c r="B11" s="49"/>
      <c r="C11" s="29"/>
      <c r="D11" s="29"/>
      <c r="E11" s="29"/>
      <c r="F11" s="29"/>
      <c r="G11" s="29"/>
      <c r="H11" s="29"/>
      <c r="I11" s="614"/>
      <c r="J11" s="609"/>
      <c r="K11" s="615"/>
      <c r="L11" s="616"/>
      <c r="M11" s="616"/>
      <c r="N11" s="616"/>
      <c r="O11" s="616"/>
      <c r="P11" s="616"/>
      <c r="Q11" s="616"/>
      <c r="R11" s="616"/>
      <c r="S11" s="617"/>
      <c r="T11" s="618"/>
      <c r="U11" s="619"/>
      <c r="V11" s="620"/>
      <c r="W11" s="621"/>
      <c r="X11" s="31"/>
      <c r="Y11" s="31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2"/>
      <c r="AK11" s="32"/>
      <c r="AL11" s="32"/>
      <c r="AM11" s="33"/>
      <c r="AN11" s="34"/>
      <c r="AO11" s="30"/>
      <c r="AP11" s="35"/>
      <c r="AQ11" s="36"/>
      <c r="AR11" s="612"/>
      <c r="AS11" s="38"/>
      <c r="AT11" s="39"/>
      <c r="AU11" s="39"/>
      <c r="AV11" s="40"/>
      <c r="AW11" s="40"/>
      <c r="AX11" s="41"/>
      <c r="AY11" s="42"/>
      <c r="AZ11" s="39"/>
      <c r="BA11" s="39"/>
      <c r="BB11" s="39"/>
      <c r="BC11" s="39"/>
      <c r="BD11" s="39"/>
      <c r="BE11" s="39"/>
      <c r="BF11" s="39"/>
      <c r="BG11" s="39"/>
      <c r="BH11" s="39"/>
      <c r="BI11" s="43"/>
      <c r="BJ11" s="63"/>
      <c r="BK11" s="64"/>
      <c r="BL11" s="64"/>
      <c r="BM11" s="64"/>
      <c r="BN11" s="64"/>
      <c r="BO11" s="46"/>
    </row>
    <row r="12" spans="1:68" s="47" customFormat="1" ht="19.149999999999999" customHeight="1">
      <c r="A12" s="624"/>
      <c r="B12" s="49"/>
      <c r="C12" s="29"/>
      <c r="D12" s="29"/>
      <c r="E12" s="29"/>
      <c r="F12" s="29"/>
      <c r="G12" s="29"/>
      <c r="H12" s="29"/>
      <c r="I12" s="614"/>
      <c r="J12" s="609"/>
      <c r="K12" s="615"/>
      <c r="L12" s="616"/>
      <c r="M12" s="616"/>
      <c r="N12" s="616"/>
      <c r="O12" s="616"/>
      <c r="P12" s="616"/>
      <c r="Q12" s="616"/>
      <c r="R12" s="616"/>
      <c r="S12" s="617"/>
      <c r="T12" s="618"/>
      <c r="U12" s="619"/>
      <c r="V12" s="620"/>
      <c r="W12" s="621"/>
      <c r="X12" s="31"/>
      <c r="Y12" s="31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2"/>
      <c r="AK12" s="32"/>
      <c r="AL12" s="32"/>
      <c r="AM12" s="33"/>
      <c r="AN12" s="34"/>
      <c r="AO12" s="30"/>
      <c r="AP12" s="35"/>
      <c r="AQ12" s="36"/>
      <c r="AR12" s="612"/>
      <c r="AS12" s="38"/>
      <c r="AT12" s="39"/>
      <c r="AU12" s="39"/>
      <c r="AV12" s="40"/>
      <c r="AW12" s="40"/>
      <c r="AX12" s="41"/>
      <c r="AY12" s="42"/>
      <c r="AZ12" s="39"/>
      <c r="BA12" s="39"/>
      <c r="BB12" s="39"/>
      <c r="BC12" s="39"/>
      <c r="BD12" s="39"/>
      <c r="BE12" s="39"/>
      <c r="BF12" s="39"/>
      <c r="BG12" s="39"/>
      <c r="BH12" s="39"/>
      <c r="BI12" s="43"/>
      <c r="BJ12" s="63"/>
      <c r="BK12" s="64"/>
      <c r="BL12" s="64"/>
      <c r="BM12" s="64"/>
      <c r="BN12" s="64"/>
      <c r="BO12" s="46"/>
    </row>
    <row r="13" spans="1:68" s="47" customFormat="1" ht="19.149999999999999" customHeight="1">
      <c r="A13" s="624"/>
      <c r="B13" s="49"/>
      <c r="C13" s="29"/>
      <c r="D13" s="29"/>
      <c r="E13" s="29"/>
      <c r="F13" s="29"/>
      <c r="G13" s="29"/>
      <c r="H13" s="29"/>
      <c r="I13" s="614"/>
      <c r="J13" s="609"/>
      <c r="K13" s="615"/>
      <c r="L13" s="616"/>
      <c r="M13" s="616"/>
      <c r="N13" s="616"/>
      <c r="O13" s="616"/>
      <c r="P13" s="616"/>
      <c r="Q13" s="616"/>
      <c r="R13" s="616"/>
      <c r="S13" s="617"/>
      <c r="T13" s="618"/>
      <c r="U13" s="619"/>
      <c r="V13" s="620"/>
      <c r="W13" s="621"/>
      <c r="X13" s="31"/>
      <c r="Y13" s="31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2"/>
      <c r="AK13" s="32"/>
      <c r="AL13" s="32"/>
      <c r="AM13" s="33"/>
      <c r="AN13" s="34"/>
      <c r="AO13" s="30"/>
      <c r="AP13" s="35"/>
      <c r="AQ13" s="36"/>
      <c r="AR13" s="612"/>
      <c r="AS13" s="38"/>
      <c r="AT13" s="39"/>
      <c r="AU13" s="39"/>
      <c r="AV13" s="40"/>
      <c r="AW13" s="40"/>
      <c r="AX13" s="41"/>
      <c r="AY13" s="42"/>
      <c r="AZ13" s="39"/>
      <c r="BA13" s="39"/>
      <c r="BB13" s="39"/>
      <c r="BC13" s="39"/>
      <c r="BD13" s="39"/>
      <c r="BE13" s="39"/>
      <c r="BF13" s="39"/>
      <c r="BG13" s="39"/>
      <c r="BH13" s="39"/>
      <c r="BI13" s="43"/>
      <c r="BJ13" s="63"/>
      <c r="BK13" s="64"/>
      <c r="BL13" s="64"/>
      <c r="BM13" s="64"/>
      <c r="BN13" s="64"/>
      <c r="BO13" s="46"/>
    </row>
    <row r="14" spans="1:68" s="47" customFormat="1" ht="19.149999999999999" customHeight="1">
      <c r="A14" s="624"/>
      <c r="B14" s="49"/>
      <c r="C14" s="29"/>
      <c r="D14" s="29"/>
      <c r="E14" s="29"/>
      <c r="F14" s="29"/>
      <c r="G14" s="29"/>
      <c r="H14" s="29"/>
      <c r="I14" s="614"/>
      <c r="J14" s="609"/>
      <c r="K14" s="615"/>
      <c r="L14" s="616"/>
      <c r="M14" s="616"/>
      <c r="N14" s="616"/>
      <c r="O14" s="616"/>
      <c r="P14" s="616"/>
      <c r="Q14" s="616"/>
      <c r="R14" s="616"/>
      <c r="S14" s="617"/>
      <c r="T14" s="618"/>
      <c r="U14" s="619"/>
      <c r="V14" s="620"/>
      <c r="W14" s="621"/>
      <c r="X14" s="31"/>
      <c r="Y14" s="31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2"/>
      <c r="AK14" s="32"/>
      <c r="AL14" s="32"/>
      <c r="AM14" s="33"/>
      <c r="AN14" s="34"/>
      <c r="AO14" s="30"/>
      <c r="AP14" s="35"/>
      <c r="AQ14" s="36"/>
      <c r="AR14" s="612"/>
      <c r="AS14" s="38"/>
      <c r="AT14" s="39"/>
      <c r="AU14" s="39"/>
      <c r="AV14" s="40"/>
      <c r="AW14" s="40"/>
      <c r="AX14" s="41"/>
      <c r="AY14" s="42"/>
      <c r="AZ14" s="39"/>
      <c r="BA14" s="39"/>
      <c r="BB14" s="39"/>
      <c r="BC14" s="39"/>
      <c r="BD14" s="39"/>
      <c r="BE14" s="39"/>
      <c r="BF14" s="39"/>
      <c r="BG14" s="39"/>
      <c r="BH14" s="39"/>
      <c r="BI14" s="43"/>
      <c r="BJ14" s="63"/>
      <c r="BK14" s="64"/>
      <c r="BL14" s="64"/>
      <c r="BM14" s="64"/>
      <c r="BN14" s="64"/>
      <c r="BO14" s="46"/>
    </row>
    <row r="15" spans="1:68" s="47" customFormat="1" ht="19.149999999999999" customHeight="1">
      <c r="A15" s="624"/>
      <c r="B15" s="49"/>
      <c r="C15" s="29"/>
      <c r="D15" s="29"/>
      <c r="E15" s="29"/>
      <c r="F15" s="29"/>
      <c r="G15" s="29"/>
      <c r="H15" s="29"/>
      <c r="I15" s="614"/>
      <c r="J15" s="609"/>
      <c r="K15" s="615"/>
      <c r="L15" s="616"/>
      <c r="M15" s="616"/>
      <c r="N15" s="616"/>
      <c r="O15" s="616"/>
      <c r="P15" s="616"/>
      <c r="Q15" s="616"/>
      <c r="R15" s="616"/>
      <c r="S15" s="617"/>
      <c r="T15" s="618"/>
      <c r="V15" s="620"/>
      <c r="W15" s="621"/>
      <c r="X15" s="31"/>
      <c r="Y15" s="31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2"/>
      <c r="AK15" s="32"/>
      <c r="AL15" s="32"/>
      <c r="AM15" s="33"/>
      <c r="AN15" s="34"/>
      <c r="AO15" s="30"/>
      <c r="AP15" s="35"/>
      <c r="AQ15" s="36"/>
      <c r="AR15" s="612"/>
      <c r="AS15" s="38"/>
      <c r="AT15" s="39"/>
      <c r="AU15" s="39"/>
      <c r="AV15" s="40"/>
      <c r="AW15" s="40"/>
      <c r="AX15" s="41"/>
      <c r="AY15" s="42"/>
      <c r="AZ15" s="39"/>
      <c r="BA15" s="39"/>
      <c r="BB15" s="39"/>
      <c r="BC15" s="39"/>
      <c r="BD15" s="39"/>
      <c r="BE15" s="39"/>
      <c r="BF15" s="39"/>
      <c r="BG15" s="39"/>
      <c r="BH15" s="39"/>
      <c r="BI15" s="43"/>
      <c r="BJ15" s="63"/>
      <c r="BK15" s="64"/>
      <c r="BL15" s="64"/>
      <c r="BM15" s="64"/>
      <c r="BN15" s="64"/>
      <c r="BO15" s="46"/>
    </row>
    <row r="16" spans="1:68" s="47" customFormat="1" ht="19.149999999999999" customHeight="1">
      <c r="A16" s="624"/>
      <c r="B16" s="49"/>
      <c r="C16" s="29"/>
      <c r="D16" s="29"/>
      <c r="E16" s="29"/>
      <c r="F16" s="29"/>
      <c r="G16" s="29"/>
      <c r="H16" s="29"/>
      <c r="I16" s="614"/>
      <c r="J16" s="609"/>
      <c r="K16" s="615"/>
      <c r="L16" s="616"/>
      <c r="M16" s="616"/>
      <c r="N16" s="616"/>
      <c r="O16" s="616"/>
      <c r="P16" s="616"/>
      <c r="Q16" s="616"/>
      <c r="R16" s="616"/>
      <c r="S16" s="617"/>
      <c r="T16" s="618"/>
      <c r="U16" s="619"/>
      <c r="V16" s="620"/>
      <c r="W16" s="621"/>
      <c r="X16" s="31"/>
      <c r="Y16" s="31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2"/>
      <c r="AK16" s="32"/>
      <c r="AL16" s="32"/>
      <c r="AM16" s="33"/>
      <c r="AN16" s="34"/>
      <c r="AO16" s="30"/>
      <c r="AP16" s="35"/>
      <c r="AQ16" s="36"/>
      <c r="AR16" s="612"/>
      <c r="AS16" s="38"/>
      <c r="AT16" s="39"/>
      <c r="AU16" s="39"/>
      <c r="AV16" s="40"/>
      <c r="AW16" s="40"/>
      <c r="AX16" s="41"/>
      <c r="AY16" s="42"/>
      <c r="AZ16" s="39"/>
      <c r="BA16" s="39"/>
      <c r="BB16" s="39"/>
      <c r="BC16" s="39"/>
      <c r="BD16" s="39"/>
      <c r="BE16" s="39"/>
      <c r="BF16" s="39"/>
      <c r="BG16" s="39"/>
      <c r="BH16" s="39"/>
      <c r="BI16" s="43"/>
      <c r="BJ16" s="63"/>
      <c r="BK16" s="64"/>
      <c r="BL16" s="64"/>
      <c r="BM16" s="64"/>
      <c r="BN16" s="64"/>
      <c r="BO16" s="46"/>
    </row>
    <row r="17" spans="1:67" s="47" customFormat="1" ht="19.149999999999999" customHeight="1">
      <c r="A17" s="624"/>
      <c r="B17" s="49"/>
      <c r="C17" s="29"/>
      <c r="D17" s="29"/>
      <c r="E17" s="29"/>
      <c r="F17" s="29"/>
      <c r="G17" s="29"/>
      <c r="H17" s="29"/>
      <c r="I17" s="614"/>
      <c r="J17" s="609"/>
      <c r="K17" s="615"/>
      <c r="L17" s="616"/>
      <c r="M17" s="616"/>
      <c r="N17" s="616"/>
      <c r="O17" s="616"/>
      <c r="P17" s="616"/>
      <c r="Q17" s="616"/>
      <c r="R17" s="616"/>
      <c r="S17" s="617"/>
      <c r="T17" s="618"/>
      <c r="U17" s="619"/>
      <c r="V17" s="620"/>
      <c r="W17" s="621"/>
      <c r="X17" s="31"/>
      <c r="Y17" s="31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2"/>
      <c r="AK17" s="32"/>
      <c r="AL17" s="32"/>
      <c r="AM17" s="33"/>
      <c r="AN17" s="34"/>
      <c r="AO17" s="30"/>
      <c r="AP17" s="35"/>
      <c r="AQ17" s="36"/>
      <c r="AR17" s="612"/>
      <c r="AS17" s="38"/>
      <c r="AT17" s="39"/>
      <c r="AU17" s="39"/>
      <c r="AV17" s="40"/>
      <c r="AW17" s="40"/>
      <c r="AX17" s="41"/>
      <c r="AY17" s="42"/>
      <c r="AZ17" s="39"/>
      <c r="BA17" s="39"/>
      <c r="BB17" s="39"/>
      <c r="BC17" s="39"/>
      <c r="BD17" s="39"/>
      <c r="BE17" s="39"/>
      <c r="BF17" s="39"/>
      <c r="BG17" s="39"/>
      <c r="BH17" s="39"/>
      <c r="BI17" s="43"/>
      <c r="BJ17" s="63"/>
      <c r="BK17" s="64"/>
      <c r="BL17" s="64"/>
      <c r="BM17" s="64"/>
      <c r="BN17" s="64"/>
      <c r="BO17" s="46"/>
    </row>
    <row r="18" spans="1:67" s="47" customFormat="1" ht="19.149999999999999" customHeight="1">
      <c r="A18" s="624"/>
      <c r="B18" s="49"/>
      <c r="C18" s="29"/>
      <c r="D18" s="29"/>
      <c r="E18" s="29"/>
      <c r="F18" s="29"/>
      <c r="G18" s="29"/>
      <c r="H18" s="29"/>
      <c r="I18" s="50"/>
      <c r="J18" s="609"/>
      <c r="K18" s="52"/>
      <c r="L18" s="50"/>
      <c r="M18" s="50"/>
      <c r="N18" s="50"/>
      <c r="O18" s="50"/>
      <c r="P18" s="50"/>
      <c r="Q18" s="50"/>
      <c r="R18" s="50"/>
      <c r="S18" s="456"/>
      <c r="T18" s="53"/>
      <c r="U18" s="54"/>
      <c r="V18" s="29"/>
      <c r="W18" s="621"/>
      <c r="X18" s="31"/>
      <c r="Y18" s="31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2"/>
      <c r="AK18" s="32"/>
      <c r="AL18" s="32"/>
      <c r="AM18" s="33"/>
      <c r="AN18" s="37"/>
      <c r="AO18" s="52"/>
      <c r="AP18" s="57"/>
      <c r="AQ18" s="58"/>
      <c r="AR18" s="37"/>
      <c r="AS18" s="38"/>
      <c r="AT18" s="59"/>
      <c r="AU18" s="59"/>
      <c r="AV18" s="60"/>
      <c r="AW18" s="60"/>
      <c r="AX18" s="61"/>
      <c r="AY18" s="62"/>
      <c r="AZ18" s="59"/>
      <c r="BA18" s="59"/>
      <c r="BB18" s="59"/>
      <c r="BC18" s="59"/>
      <c r="BD18" s="59"/>
      <c r="BE18" s="59"/>
      <c r="BF18" s="59"/>
      <c r="BG18" s="59"/>
      <c r="BH18" s="59"/>
      <c r="BI18" s="43"/>
      <c r="BJ18" s="63"/>
      <c r="BK18" s="64"/>
      <c r="BL18" s="64"/>
      <c r="BM18" s="64"/>
      <c r="BN18" s="64"/>
      <c r="BO18" s="46"/>
    </row>
    <row r="19" spans="1:67" s="47" customFormat="1" ht="19.149999999999999" customHeight="1">
      <c r="A19" s="624"/>
      <c r="B19" s="49"/>
      <c r="C19" s="29"/>
      <c r="D19" s="29"/>
      <c r="E19" s="29"/>
      <c r="F19" s="29"/>
      <c r="G19" s="29"/>
      <c r="H19" s="29"/>
      <c r="I19" s="50"/>
      <c r="J19" s="609"/>
      <c r="K19" s="52"/>
      <c r="L19" s="50"/>
      <c r="M19" s="50"/>
      <c r="N19" s="50"/>
      <c r="O19" s="50"/>
      <c r="P19" s="50"/>
      <c r="Q19" s="50"/>
      <c r="R19" s="50"/>
      <c r="S19" s="456"/>
      <c r="T19" s="53"/>
      <c r="U19" s="54"/>
      <c r="V19" s="29"/>
      <c r="W19" s="621"/>
      <c r="X19" s="31"/>
      <c r="Y19" s="31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2"/>
      <c r="AK19" s="32"/>
      <c r="AL19" s="32"/>
      <c r="AM19" s="33"/>
      <c r="AN19" s="37"/>
      <c r="AO19" s="52"/>
      <c r="AP19" s="57"/>
      <c r="AQ19" s="58"/>
      <c r="AR19" s="37"/>
      <c r="AS19" s="38"/>
      <c r="AT19" s="59"/>
      <c r="AU19" s="59"/>
      <c r="AV19" s="60"/>
      <c r="AW19" s="60"/>
      <c r="AX19" s="61"/>
      <c r="AY19" s="62"/>
      <c r="AZ19" s="59"/>
      <c r="BA19" s="59"/>
      <c r="BB19" s="59"/>
      <c r="BC19" s="59"/>
      <c r="BD19" s="59"/>
      <c r="BE19" s="59"/>
      <c r="BF19" s="59"/>
      <c r="BG19" s="59"/>
      <c r="BH19" s="59"/>
      <c r="BI19" s="43"/>
      <c r="BJ19" s="63"/>
      <c r="BK19" s="64"/>
      <c r="BL19" s="64"/>
      <c r="BM19" s="64"/>
      <c r="BN19" s="64"/>
      <c r="BO19" s="59"/>
    </row>
    <row r="20" spans="1:67" s="47" customFormat="1" ht="19.149999999999999" customHeight="1">
      <c r="A20" s="624"/>
      <c r="B20" s="49"/>
      <c r="C20" s="29"/>
      <c r="D20" s="29"/>
      <c r="E20" s="29"/>
      <c r="F20" s="29"/>
      <c r="G20" s="29"/>
      <c r="H20" s="29"/>
      <c r="I20" s="51"/>
      <c r="J20" s="609"/>
      <c r="K20" s="52"/>
      <c r="L20" s="50"/>
      <c r="M20" s="50"/>
      <c r="N20" s="50"/>
      <c r="O20" s="50"/>
      <c r="P20" s="50"/>
      <c r="Q20" s="50"/>
      <c r="R20" s="50"/>
      <c r="S20" s="456"/>
      <c r="T20" s="53"/>
      <c r="U20" s="54"/>
      <c r="V20" s="29"/>
      <c r="W20" s="621"/>
      <c r="X20" s="31"/>
      <c r="Y20" s="31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2"/>
      <c r="AK20" s="32"/>
      <c r="AL20" s="32"/>
      <c r="AM20" s="33"/>
      <c r="AN20" s="37"/>
      <c r="AO20" s="52"/>
      <c r="AP20" s="57"/>
      <c r="AQ20" s="58"/>
      <c r="AR20" s="37"/>
      <c r="AS20" s="38"/>
      <c r="AT20" s="59"/>
      <c r="AU20" s="59"/>
      <c r="AV20" s="60"/>
      <c r="AW20" s="60"/>
      <c r="AX20" s="61"/>
      <c r="AY20" s="62"/>
      <c r="AZ20" s="59"/>
      <c r="BA20" s="59"/>
      <c r="BB20" s="59"/>
      <c r="BC20" s="59"/>
      <c r="BD20" s="59"/>
      <c r="BE20" s="59"/>
      <c r="BF20" s="59"/>
      <c r="BG20" s="59"/>
      <c r="BH20" s="59"/>
      <c r="BI20" s="43"/>
      <c r="BJ20" s="63"/>
      <c r="BK20" s="64"/>
      <c r="BL20" s="64"/>
      <c r="BM20" s="64"/>
      <c r="BN20" s="64"/>
      <c r="BO20" s="60"/>
    </row>
    <row r="21" spans="1:67" s="47" customFormat="1" ht="19.149999999999999" customHeight="1">
      <c r="A21" s="48"/>
      <c r="B21" s="49"/>
      <c r="C21" s="29"/>
      <c r="D21" s="29"/>
      <c r="E21" s="29"/>
      <c r="F21" s="29"/>
      <c r="G21" s="29"/>
      <c r="H21" s="29"/>
      <c r="I21" s="50"/>
      <c r="J21" s="609"/>
      <c r="K21" s="52"/>
      <c r="L21" s="50"/>
      <c r="M21" s="50"/>
      <c r="N21" s="50"/>
      <c r="O21" s="50"/>
      <c r="P21" s="50"/>
      <c r="Q21" s="50"/>
      <c r="R21" s="50"/>
      <c r="S21" s="456"/>
      <c r="T21" s="53"/>
      <c r="U21" s="54"/>
      <c r="V21" s="29"/>
      <c r="W21" s="621"/>
      <c r="X21" s="31"/>
      <c r="Y21" s="31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2"/>
      <c r="AK21" s="32"/>
      <c r="AL21" s="32"/>
      <c r="AM21" s="33"/>
      <c r="AN21" s="37"/>
      <c r="AO21" s="52"/>
      <c r="AP21" s="57"/>
      <c r="AQ21" s="58"/>
      <c r="AR21" s="37"/>
      <c r="AS21" s="38"/>
      <c r="AT21" s="59"/>
      <c r="AU21" s="59"/>
      <c r="AV21" s="60"/>
      <c r="AW21" s="60"/>
      <c r="AX21" s="61"/>
      <c r="AY21" s="62"/>
      <c r="AZ21" s="59"/>
      <c r="BA21" s="59"/>
      <c r="BB21" s="59"/>
      <c r="BC21" s="59"/>
      <c r="BD21" s="59"/>
      <c r="BE21" s="59"/>
      <c r="BF21" s="59"/>
      <c r="BG21" s="59"/>
      <c r="BH21" s="59"/>
      <c r="BI21" s="43"/>
      <c r="BJ21" s="63"/>
      <c r="BK21" s="64"/>
      <c r="BL21" s="64"/>
      <c r="BM21" s="64"/>
      <c r="BN21" s="64"/>
      <c r="BO21" s="60"/>
    </row>
    <row r="22" spans="1:67" s="47" customFormat="1" ht="19.149999999999999" customHeight="1">
      <c r="A22" s="48"/>
      <c r="B22" s="49"/>
      <c r="C22" s="29"/>
      <c r="D22" s="29"/>
      <c r="E22" s="29"/>
      <c r="F22" s="29"/>
      <c r="G22" s="29"/>
      <c r="H22" s="29"/>
      <c r="I22" s="50"/>
      <c r="J22" s="609"/>
      <c r="K22" s="52"/>
      <c r="L22" s="50"/>
      <c r="M22" s="50"/>
      <c r="N22" s="50"/>
      <c r="O22" s="50"/>
      <c r="P22" s="50"/>
      <c r="Q22" s="50"/>
      <c r="R22" s="50"/>
      <c r="S22" s="456"/>
      <c r="T22" s="53"/>
      <c r="U22" s="54"/>
      <c r="V22" s="29"/>
      <c r="W22" s="621"/>
      <c r="X22" s="31"/>
      <c r="Y22" s="31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2"/>
      <c r="AK22" s="32"/>
      <c r="AL22" s="32"/>
      <c r="AM22" s="33"/>
      <c r="AN22" s="37"/>
      <c r="AO22" s="52"/>
      <c r="AP22" s="57"/>
      <c r="AQ22" s="58"/>
      <c r="AR22" s="37"/>
      <c r="AS22" s="38"/>
      <c r="AT22" s="59"/>
      <c r="AU22" s="59"/>
      <c r="AV22" s="60"/>
      <c r="AW22" s="60"/>
      <c r="AX22" s="61"/>
      <c r="AY22" s="62"/>
      <c r="AZ22" s="59"/>
      <c r="BA22" s="59"/>
      <c r="BB22" s="59"/>
      <c r="BC22" s="59"/>
      <c r="BD22" s="59"/>
      <c r="BE22" s="59"/>
      <c r="BF22" s="59"/>
      <c r="BG22" s="59"/>
      <c r="BH22" s="59"/>
      <c r="BI22" s="43"/>
      <c r="BJ22" s="63"/>
      <c r="BK22" s="64"/>
      <c r="BL22" s="64"/>
      <c r="BM22" s="64"/>
      <c r="BN22" s="64"/>
      <c r="BO22" s="60"/>
    </row>
    <row r="23" spans="1:67" s="47" customFormat="1" ht="19.149999999999999" customHeight="1">
      <c r="A23" s="48"/>
      <c r="B23" s="49"/>
      <c r="C23" s="29"/>
      <c r="D23" s="29"/>
      <c r="E23" s="29"/>
      <c r="F23" s="29"/>
      <c r="G23" s="29"/>
      <c r="H23" s="29"/>
      <c r="I23" s="50"/>
      <c r="J23" s="609"/>
      <c r="K23" s="52"/>
      <c r="L23" s="50"/>
      <c r="M23" s="50"/>
      <c r="N23" s="50"/>
      <c r="O23" s="50"/>
      <c r="P23" s="50"/>
      <c r="Q23" s="50"/>
      <c r="R23" s="50"/>
      <c r="S23" s="456"/>
      <c r="T23" s="53"/>
      <c r="U23" s="54"/>
      <c r="V23" s="29"/>
      <c r="W23" s="621"/>
      <c r="X23" s="31"/>
      <c r="Y23" s="31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2"/>
      <c r="AK23" s="32"/>
      <c r="AL23" s="32"/>
      <c r="AM23" s="33"/>
      <c r="AN23" s="37"/>
      <c r="AO23" s="52"/>
      <c r="AP23" s="57"/>
      <c r="AQ23" s="58"/>
      <c r="AR23" s="37"/>
      <c r="AS23" s="38"/>
      <c r="AT23" s="59"/>
      <c r="AU23" s="59"/>
      <c r="AV23" s="60"/>
      <c r="AW23" s="60"/>
      <c r="AX23" s="61"/>
      <c r="AY23" s="62"/>
      <c r="AZ23" s="59"/>
      <c r="BA23" s="59"/>
      <c r="BB23" s="59"/>
      <c r="BC23" s="59"/>
      <c r="BD23" s="59"/>
      <c r="BE23" s="59"/>
      <c r="BF23" s="59"/>
      <c r="BG23" s="59"/>
      <c r="BH23" s="59"/>
      <c r="BI23" s="43"/>
      <c r="BJ23" s="63"/>
      <c r="BK23" s="64"/>
      <c r="BL23" s="64"/>
      <c r="BM23" s="64"/>
      <c r="BN23" s="64"/>
      <c r="BO23" s="60"/>
    </row>
    <row r="24" spans="1:67" s="47" customFormat="1" ht="19.149999999999999" customHeight="1">
      <c r="A24" s="48"/>
      <c r="B24" s="49"/>
      <c r="C24" s="29"/>
      <c r="D24" s="29"/>
      <c r="E24" s="29"/>
      <c r="F24" s="29"/>
      <c r="G24" s="29"/>
      <c r="H24" s="29"/>
      <c r="I24" s="50"/>
      <c r="J24" s="609"/>
      <c r="K24" s="52"/>
      <c r="L24" s="50"/>
      <c r="M24" s="50"/>
      <c r="N24" s="50"/>
      <c r="O24" s="50"/>
      <c r="P24" s="50"/>
      <c r="Q24" s="50"/>
      <c r="R24" s="50"/>
      <c r="S24" s="456"/>
      <c r="T24" s="53"/>
      <c r="U24" s="54"/>
      <c r="V24" s="29"/>
      <c r="W24" s="621"/>
      <c r="X24" s="31"/>
      <c r="Y24" s="31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2"/>
      <c r="AK24" s="32"/>
      <c r="AL24" s="32"/>
      <c r="AM24" s="33"/>
      <c r="AN24" s="37"/>
      <c r="AO24" s="52"/>
      <c r="AP24" s="57"/>
      <c r="AQ24" s="58"/>
      <c r="AR24" s="37"/>
      <c r="AS24" s="38"/>
      <c r="AT24" s="59"/>
      <c r="AU24" s="59"/>
      <c r="AV24" s="60"/>
      <c r="AW24" s="60"/>
      <c r="AX24" s="61"/>
      <c r="AY24" s="62"/>
      <c r="AZ24" s="59"/>
      <c r="BA24" s="59"/>
      <c r="BB24" s="59"/>
      <c r="BC24" s="59"/>
      <c r="BD24" s="59"/>
      <c r="BE24" s="59"/>
      <c r="BF24" s="59"/>
      <c r="BG24" s="59"/>
      <c r="BH24" s="59"/>
      <c r="BI24" s="43"/>
      <c r="BJ24" s="63"/>
      <c r="BK24" s="64"/>
      <c r="BL24" s="64"/>
      <c r="BM24" s="64"/>
      <c r="BN24" s="64"/>
      <c r="BO24" s="60"/>
    </row>
    <row r="25" spans="1:67" s="47" customFormat="1" ht="19.149999999999999" customHeight="1">
      <c r="A25" s="48"/>
      <c r="B25" s="49"/>
      <c r="C25" s="29"/>
      <c r="D25" s="29"/>
      <c r="E25" s="29"/>
      <c r="F25" s="29"/>
      <c r="G25" s="29"/>
      <c r="H25" s="29"/>
      <c r="I25" s="51"/>
      <c r="J25" s="609"/>
      <c r="K25" s="52"/>
      <c r="L25" s="50"/>
      <c r="M25" s="50"/>
      <c r="N25" s="50"/>
      <c r="O25" s="50"/>
      <c r="P25" s="50"/>
      <c r="Q25" s="50"/>
      <c r="R25" s="50"/>
      <c r="S25" s="456"/>
      <c r="T25" s="53"/>
      <c r="U25" s="54"/>
      <c r="V25" s="29"/>
      <c r="W25" s="621"/>
      <c r="X25" s="31"/>
      <c r="Y25" s="31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2"/>
      <c r="AK25" s="32"/>
      <c r="AL25" s="32"/>
      <c r="AM25" s="33"/>
      <c r="AN25" s="37"/>
      <c r="AO25" s="52"/>
      <c r="AP25" s="57"/>
      <c r="AQ25" s="58"/>
      <c r="AR25" s="37"/>
      <c r="AS25" s="38"/>
      <c r="AT25" s="59"/>
      <c r="AU25" s="59"/>
      <c r="AV25" s="60"/>
      <c r="AW25" s="60"/>
      <c r="AX25" s="61"/>
      <c r="AY25" s="62"/>
      <c r="AZ25" s="59"/>
      <c r="BA25" s="59"/>
      <c r="BB25" s="59"/>
      <c r="BC25" s="59"/>
      <c r="BD25" s="59"/>
      <c r="BE25" s="59"/>
      <c r="BF25" s="59"/>
      <c r="BG25" s="59"/>
      <c r="BH25" s="59"/>
      <c r="BI25" s="43"/>
      <c r="BJ25" s="63"/>
      <c r="BK25" s="64"/>
      <c r="BL25" s="64"/>
      <c r="BM25" s="64"/>
      <c r="BN25" s="64"/>
      <c r="BO25" s="60"/>
    </row>
    <row r="26" spans="1:67" s="47" customFormat="1" ht="19.149999999999999" customHeight="1">
      <c r="A26" s="48"/>
      <c r="B26" s="49"/>
      <c r="C26" s="29"/>
      <c r="D26" s="29"/>
      <c r="E26" s="29"/>
      <c r="F26" s="29"/>
      <c r="G26" s="29"/>
      <c r="H26" s="29"/>
      <c r="I26" s="50"/>
      <c r="J26" s="609"/>
      <c r="K26" s="52"/>
      <c r="L26" s="50"/>
      <c r="M26" s="50"/>
      <c r="N26" s="50"/>
      <c r="O26" s="50"/>
      <c r="P26" s="50"/>
      <c r="Q26" s="50"/>
      <c r="R26" s="50"/>
      <c r="S26" s="456"/>
      <c r="T26" s="53"/>
      <c r="U26" s="54"/>
      <c r="V26" s="29"/>
      <c r="W26" s="621"/>
      <c r="X26" s="31"/>
      <c r="Y26" s="31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2"/>
      <c r="AK26" s="32"/>
      <c r="AL26" s="32"/>
      <c r="AM26" s="33"/>
      <c r="AN26" s="37"/>
      <c r="AO26" s="52"/>
      <c r="AP26" s="57"/>
      <c r="AQ26" s="58"/>
      <c r="AR26" s="37"/>
      <c r="AS26" s="38"/>
      <c r="AT26" s="59"/>
      <c r="AU26" s="59"/>
      <c r="AV26" s="60"/>
      <c r="AW26" s="60"/>
      <c r="AX26" s="61"/>
      <c r="AY26" s="62"/>
      <c r="AZ26" s="59"/>
      <c r="BA26" s="59"/>
      <c r="BB26" s="59"/>
      <c r="BC26" s="59"/>
      <c r="BD26" s="59"/>
      <c r="BE26" s="59"/>
      <c r="BF26" s="59"/>
      <c r="BG26" s="59"/>
      <c r="BH26" s="59"/>
      <c r="BI26" s="43"/>
      <c r="BJ26" s="63"/>
      <c r="BK26" s="64"/>
      <c r="BL26" s="64"/>
      <c r="BM26" s="64"/>
      <c r="BN26" s="64"/>
      <c r="BO26" s="60"/>
    </row>
    <row r="27" spans="1:67" s="47" customFormat="1" ht="19.149999999999999" customHeight="1">
      <c r="A27" s="48"/>
      <c r="B27" s="49"/>
      <c r="C27" s="29"/>
      <c r="D27" s="29"/>
      <c r="E27" s="29"/>
      <c r="F27" s="29"/>
      <c r="G27" s="29"/>
      <c r="H27" s="29"/>
      <c r="I27" s="50"/>
      <c r="J27" s="609"/>
      <c r="K27" s="52"/>
      <c r="L27" s="50"/>
      <c r="M27" s="50"/>
      <c r="N27" s="50"/>
      <c r="O27" s="50"/>
      <c r="P27" s="50"/>
      <c r="Q27" s="50"/>
      <c r="R27" s="50"/>
      <c r="S27" s="456"/>
      <c r="T27" s="53"/>
      <c r="U27" s="54"/>
      <c r="V27" s="29"/>
      <c r="W27" s="621"/>
      <c r="X27" s="31"/>
      <c r="Y27" s="31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2"/>
      <c r="AK27" s="32"/>
      <c r="AL27" s="32"/>
      <c r="AM27" s="33"/>
      <c r="AN27" s="37"/>
      <c r="AO27" s="52"/>
      <c r="AP27" s="57"/>
      <c r="AQ27" s="58"/>
      <c r="AR27" s="37"/>
      <c r="AS27" s="38"/>
      <c r="AT27" s="59"/>
      <c r="AU27" s="59"/>
      <c r="AV27" s="60"/>
      <c r="AW27" s="60"/>
      <c r="AX27" s="61"/>
      <c r="AY27" s="62"/>
      <c r="AZ27" s="59"/>
      <c r="BA27" s="59"/>
      <c r="BB27" s="59"/>
      <c r="BC27" s="59"/>
      <c r="BD27" s="59"/>
      <c r="BE27" s="59"/>
      <c r="BF27" s="59"/>
      <c r="BG27" s="59"/>
      <c r="BH27" s="59"/>
      <c r="BI27" s="43"/>
      <c r="BJ27" s="63"/>
      <c r="BK27" s="64"/>
      <c r="BL27" s="64"/>
      <c r="BM27" s="64"/>
      <c r="BN27" s="64"/>
      <c r="BO27" s="60"/>
    </row>
    <row r="28" spans="1:67" s="47" customFormat="1" ht="19.149999999999999" customHeight="1">
      <c r="A28" s="48"/>
      <c r="B28" s="49"/>
      <c r="C28" s="29"/>
      <c r="D28" s="29"/>
      <c r="E28" s="29"/>
      <c r="F28" s="29"/>
      <c r="G28" s="29"/>
      <c r="H28" s="29"/>
      <c r="I28" s="51"/>
      <c r="J28" s="609"/>
      <c r="K28" s="52"/>
      <c r="L28" s="50"/>
      <c r="M28" s="50"/>
      <c r="N28" s="50"/>
      <c r="O28" s="50"/>
      <c r="P28" s="50"/>
      <c r="Q28" s="50"/>
      <c r="R28" s="50"/>
      <c r="S28" s="456"/>
      <c r="T28" s="53"/>
      <c r="U28" s="54"/>
      <c r="V28" s="29"/>
      <c r="W28" s="621"/>
      <c r="X28" s="31"/>
      <c r="Y28" s="31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2"/>
      <c r="AK28" s="32"/>
      <c r="AL28" s="32"/>
      <c r="AM28" s="33"/>
      <c r="AN28" s="37"/>
      <c r="AO28" s="52"/>
      <c r="AP28" s="57"/>
      <c r="AQ28" s="58"/>
      <c r="AR28" s="37"/>
      <c r="AS28" s="38"/>
      <c r="AT28" s="59"/>
      <c r="AU28" s="59"/>
      <c r="AV28" s="60"/>
      <c r="AW28" s="60"/>
      <c r="AX28" s="61"/>
      <c r="AY28" s="62"/>
      <c r="AZ28" s="59"/>
      <c r="BA28" s="59"/>
      <c r="BB28" s="59"/>
      <c r="BC28" s="59"/>
      <c r="BD28" s="59"/>
      <c r="BE28" s="59"/>
      <c r="BF28" s="59"/>
      <c r="BG28" s="59"/>
      <c r="BH28" s="59"/>
      <c r="BI28" s="43"/>
      <c r="BJ28" s="63"/>
      <c r="BK28" s="64"/>
      <c r="BL28" s="64"/>
      <c r="BM28" s="64"/>
      <c r="BN28" s="64"/>
      <c r="BO28" s="60"/>
    </row>
    <row r="29" spans="1:67" s="47" customFormat="1" ht="19.149999999999999" customHeight="1">
      <c r="A29" s="48"/>
      <c r="B29" s="49"/>
      <c r="C29" s="29"/>
      <c r="D29" s="29"/>
      <c r="E29" s="29"/>
      <c r="F29" s="29"/>
      <c r="G29" s="29"/>
      <c r="H29" s="29"/>
      <c r="I29" s="51"/>
      <c r="J29" s="609"/>
      <c r="K29" s="52"/>
      <c r="L29" s="50"/>
      <c r="M29" s="50"/>
      <c r="N29" s="50"/>
      <c r="O29" s="50"/>
      <c r="P29" s="50"/>
      <c r="Q29" s="50"/>
      <c r="R29" s="50"/>
      <c r="S29" s="456"/>
      <c r="T29" s="53"/>
      <c r="U29" s="54"/>
      <c r="V29" s="29"/>
      <c r="W29" s="621"/>
      <c r="X29" s="31"/>
      <c r="Y29" s="31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2"/>
      <c r="AK29" s="32"/>
      <c r="AL29" s="32"/>
      <c r="AM29" s="33"/>
      <c r="AN29" s="37"/>
      <c r="AO29" s="52"/>
      <c r="AP29" s="57"/>
      <c r="AQ29" s="58"/>
      <c r="AR29" s="37"/>
      <c r="AS29" s="38"/>
      <c r="AT29" s="59"/>
      <c r="AU29" s="59"/>
      <c r="AV29" s="60"/>
      <c r="AW29" s="60"/>
      <c r="AX29" s="61"/>
      <c r="AY29" s="62"/>
      <c r="AZ29" s="59"/>
      <c r="BA29" s="59"/>
      <c r="BB29" s="59"/>
      <c r="BC29" s="59"/>
      <c r="BD29" s="59"/>
      <c r="BE29" s="59"/>
      <c r="BF29" s="59"/>
      <c r="BG29" s="59"/>
      <c r="BH29" s="59"/>
      <c r="BI29" s="43"/>
      <c r="BJ29" s="63"/>
      <c r="BK29" s="64"/>
      <c r="BL29" s="64"/>
      <c r="BM29" s="64"/>
      <c r="BN29" s="64"/>
      <c r="BO29" s="60"/>
    </row>
    <row r="30" spans="1:67" s="47" customFormat="1" ht="19.149999999999999" customHeight="1">
      <c r="A30" s="48"/>
      <c r="B30" s="49"/>
      <c r="C30" s="29"/>
      <c r="D30" s="29"/>
      <c r="E30" s="29"/>
      <c r="F30" s="29"/>
      <c r="G30" s="29"/>
      <c r="H30" s="29"/>
      <c r="I30" s="51"/>
      <c r="J30" s="609"/>
      <c r="K30" s="52"/>
      <c r="L30" s="50"/>
      <c r="M30" s="50"/>
      <c r="N30" s="50"/>
      <c r="O30" s="50"/>
      <c r="P30" s="50"/>
      <c r="Q30" s="50"/>
      <c r="R30" s="50"/>
      <c r="S30" s="456"/>
      <c r="T30" s="53"/>
      <c r="U30" s="54"/>
      <c r="V30" s="29"/>
      <c r="W30" s="621"/>
      <c r="X30" s="31"/>
      <c r="Y30" s="31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2"/>
      <c r="AK30" s="32"/>
      <c r="AL30" s="32"/>
      <c r="AM30" s="33"/>
      <c r="AN30" s="37"/>
      <c r="AO30" s="52"/>
      <c r="AP30" s="57"/>
      <c r="AQ30" s="58"/>
      <c r="AR30" s="37"/>
      <c r="AS30" s="38"/>
      <c r="AT30" s="59"/>
      <c r="AU30" s="59"/>
      <c r="AV30" s="60"/>
      <c r="AW30" s="60"/>
      <c r="AX30" s="61"/>
      <c r="AY30" s="62"/>
      <c r="AZ30" s="59"/>
      <c r="BA30" s="59"/>
      <c r="BB30" s="59"/>
      <c r="BC30" s="59"/>
      <c r="BD30" s="59"/>
      <c r="BE30" s="59"/>
      <c r="BF30" s="59"/>
      <c r="BG30" s="59"/>
      <c r="BH30" s="59"/>
      <c r="BI30" s="43"/>
      <c r="BJ30" s="63"/>
      <c r="BK30" s="64"/>
      <c r="BL30" s="64"/>
      <c r="BM30" s="64"/>
      <c r="BN30" s="64"/>
      <c r="BO30" s="60"/>
    </row>
    <row r="31" spans="1:67" s="47" customFormat="1" ht="19.149999999999999" customHeight="1">
      <c r="A31" s="48"/>
      <c r="B31" s="49"/>
      <c r="C31" s="29"/>
      <c r="D31" s="29"/>
      <c r="E31" s="29"/>
      <c r="F31" s="29"/>
      <c r="G31" s="29"/>
      <c r="H31" s="29"/>
      <c r="I31" s="50"/>
      <c r="J31" s="609"/>
      <c r="K31" s="52"/>
      <c r="L31" s="50"/>
      <c r="M31" s="50"/>
      <c r="N31" s="50"/>
      <c r="O31" s="50"/>
      <c r="P31" s="50"/>
      <c r="Q31" s="50"/>
      <c r="R31" s="50"/>
      <c r="S31" s="456"/>
      <c r="T31" s="53"/>
      <c r="U31" s="54"/>
      <c r="V31" s="29"/>
      <c r="W31" s="621"/>
      <c r="X31" s="31"/>
      <c r="Y31" s="31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2"/>
      <c r="AK31" s="32"/>
      <c r="AL31" s="32"/>
      <c r="AM31" s="33"/>
      <c r="AN31" s="37"/>
      <c r="AO31" s="52"/>
      <c r="AP31" s="57"/>
      <c r="AQ31" s="58"/>
      <c r="AR31" s="37"/>
      <c r="AS31" s="38"/>
      <c r="AT31" s="59"/>
      <c r="AU31" s="59"/>
      <c r="AV31" s="60"/>
      <c r="AW31" s="60"/>
      <c r="AX31" s="61"/>
      <c r="AY31" s="62"/>
      <c r="AZ31" s="59"/>
      <c r="BA31" s="59"/>
      <c r="BB31" s="59"/>
      <c r="BC31" s="59"/>
      <c r="BD31" s="59"/>
      <c r="BE31" s="59"/>
      <c r="BF31" s="59"/>
      <c r="BG31" s="59"/>
      <c r="BH31" s="59"/>
      <c r="BI31" s="43"/>
      <c r="BJ31" s="63"/>
      <c r="BK31" s="64"/>
      <c r="BL31" s="64"/>
      <c r="BM31" s="64"/>
      <c r="BN31" s="64"/>
      <c r="BO31" s="60"/>
    </row>
    <row r="32" spans="1:67" s="47" customFormat="1" ht="19.149999999999999" customHeight="1">
      <c r="A32" s="48"/>
      <c r="B32" s="49"/>
      <c r="C32" s="29"/>
      <c r="D32" s="29"/>
      <c r="E32" s="29"/>
      <c r="F32" s="29"/>
      <c r="G32" s="29"/>
      <c r="H32" s="29"/>
      <c r="I32" s="50"/>
      <c r="J32" s="609"/>
      <c r="K32" s="52"/>
      <c r="L32" s="50"/>
      <c r="M32" s="50"/>
      <c r="N32" s="50"/>
      <c r="O32" s="50"/>
      <c r="P32" s="50"/>
      <c r="Q32" s="50"/>
      <c r="R32" s="50"/>
      <c r="S32" s="456"/>
      <c r="T32" s="53"/>
      <c r="U32" s="54"/>
      <c r="V32" s="29"/>
      <c r="W32" s="621"/>
      <c r="X32" s="31"/>
      <c r="Y32" s="31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2"/>
      <c r="AK32" s="32"/>
      <c r="AL32" s="32"/>
      <c r="AM32" s="33"/>
      <c r="AN32" s="37"/>
      <c r="AO32" s="52"/>
      <c r="AP32" s="57"/>
      <c r="AQ32" s="58"/>
      <c r="AR32" s="37"/>
      <c r="AS32" s="38"/>
      <c r="AT32" s="59"/>
      <c r="AU32" s="59"/>
      <c r="AV32" s="60"/>
      <c r="AW32" s="60"/>
      <c r="AX32" s="61"/>
      <c r="AY32" s="62"/>
      <c r="AZ32" s="59"/>
      <c r="BA32" s="59"/>
      <c r="BB32" s="59"/>
      <c r="BC32" s="59"/>
      <c r="BD32" s="59"/>
      <c r="BE32" s="59"/>
      <c r="BF32" s="59"/>
      <c r="BG32" s="59"/>
      <c r="BH32" s="59"/>
      <c r="BI32" s="43"/>
      <c r="BJ32" s="63"/>
      <c r="BK32" s="64"/>
      <c r="BL32" s="64"/>
      <c r="BM32" s="64"/>
      <c r="BN32" s="64"/>
      <c r="BO32" s="60"/>
    </row>
    <row r="33" spans="1:67" s="47" customFormat="1" ht="19.149999999999999" customHeight="1">
      <c r="A33" s="48"/>
      <c r="B33" s="49"/>
      <c r="C33" s="29"/>
      <c r="D33" s="29"/>
      <c r="E33" s="29"/>
      <c r="F33" s="29"/>
      <c r="G33" s="29"/>
      <c r="H33" s="29"/>
      <c r="I33" s="65"/>
      <c r="J33" s="609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21"/>
      <c r="X33" s="31"/>
      <c r="Y33" s="31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2"/>
      <c r="AK33" s="32"/>
      <c r="AL33" s="32"/>
      <c r="AM33" s="33"/>
      <c r="AN33" s="37"/>
      <c r="AO33" s="52"/>
      <c r="AP33" s="57"/>
      <c r="AQ33" s="58"/>
      <c r="AR33" s="37"/>
      <c r="AS33" s="38"/>
      <c r="AT33" s="59"/>
      <c r="AU33" s="59"/>
      <c r="AV33" s="60"/>
      <c r="AW33" s="60"/>
      <c r="AX33" s="61"/>
      <c r="AY33" s="62"/>
      <c r="AZ33" s="59"/>
      <c r="BA33" s="59"/>
      <c r="BB33" s="59"/>
      <c r="BC33" s="59"/>
      <c r="BD33" s="59"/>
      <c r="BE33" s="59"/>
      <c r="BF33" s="59"/>
      <c r="BG33" s="59"/>
      <c r="BH33" s="59"/>
      <c r="BI33" s="43"/>
      <c r="BJ33" s="63"/>
      <c r="BK33" s="64"/>
      <c r="BL33" s="64"/>
      <c r="BM33" s="64"/>
      <c r="BN33" s="64"/>
      <c r="BO33" s="60"/>
    </row>
    <row r="34" spans="1:67" s="47" customFormat="1" ht="19.149999999999999" customHeight="1">
      <c r="A34" s="48"/>
      <c r="B34" s="49"/>
      <c r="C34" s="29"/>
      <c r="D34" s="29"/>
      <c r="E34" s="29"/>
      <c r="F34" s="29"/>
      <c r="G34" s="29"/>
      <c r="H34" s="29"/>
      <c r="I34" s="65"/>
      <c r="J34" s="609"/>
      <c r="K34" s="66"/>
      <c r="L34" s="66"/>
      <c r="M34" s="66"/>
      <c r="N34" s="66"/>
      <c r="O34" s="66"/>
      <c r="P34" s="66"/>
      <c r="Q34" s="66"/>
      <c r="R34" s="66"/>
      <c r="S34" s="641"/>
      <c r="T34" s="66"/>
      <c r="U34" s="66"/>
      <c r="V34" s="641"/>
      <c r="W34" s="621"/>
      <c r="X34" s="31"/>
      <c r="Y34" s="31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2"/>
      <c r="AK34" s="32"/>
      <c r="AL34" s="32"/>
      <c r="AM34" s="33"/>
      <c r="AN34" s="37"/>
      <c r="AO34" s="52"/>
      <c r="AP34" s="57"/>
      <c r="AQ34" s="58"/>
      <c r="AR34" s="37"/>
      <c r="AS34" s="38"/>
      <c r="AT34" s="59"/>
      <c r="AU34" s="59"/>
      <c r="AV34" s="60"/>
      <c r="AW34" s="60"/>
      <c r="AX34" s="61"/>
      <c r="AY34" s="62"/>
      <c r="AZ34" s="59"/>
      <c r="BA34" s="59"/>
      <c r="BB34" s="59"/>
      <c r="BC34" s="59"/>
      <c r="BD34" s="59"/>
      <c r="BE34" s="59"/>
      <c r="BF34" s="59"/>
      <c r="BG34" s="59"/>
      <c r="BH34" s="59"/>
      <c r="BI34" s="43"/>
      <c r="BJ34" s="63"/>
      <c r="BK34" s="64"/>
      <c r="BL34" s="64"/>
      <c r="BM34" s="64"/>
      <c r="BN34" s="64"/>
      <c r="BO34" s="60"/>
    </row>
    <row r="35" spans="1:67" s="47" customFormat="1" ht="19.149999999999999" customHeight="1">
      <c r="A35" s="48"/>
      <c r="B35" s="49"/>
      <c r="C35" s="29"/>
      <c r="D35" s="29"/>
      <c r="E35" s="29"/>
      <c r="F35" s="29"/>
      <c r="G35" s="29"/>
      <c r="H35" s="29"/>
      <c r="I35" s="51"/>
      <c r="J35" s="609"/>
      <c r="K35" s="52"/>
      <c r="L35" s="50"/>
      <c r="M35" s="50"/>
      <c r="N35" s="50"/>
      <c r="O35" s="50"/>
      <c r="P35" s="50"/>
      <c r="Q35" s="50"/>
      <c r="R35" s="50"/>
      <c r="S35" s="456"/>
      <c r="T35" s="53"/>
      <c r="U35" s="54"/>
      <c r="V35" s="29"/>
      <c r="W35" s="621"/>
      <c r="X35" s="31"/>
      <c r="Y35" s="31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2"/>
      <c r="AK35" s="32"/>
      <c r="AL35" s="32"/>
      <c r="AM35" s="33"/>
      <c r="AN35" s="37"/>
      <c r="AO35" s="52"/>
      <c r="AP35" s="57"/>
      <c r="AQ35" s="58"/>
      <c r="AR35" s="37"/>
      <c r="AS35" s="38"/>
      <c r="AT35" s="59"/>
      <c r="AU35" s="59"/>
      <c r="AV35" s="60"/>
      <c r="AW35" s="60"/>
      <c r="AX35" s="61"/>
      <c r="AY35" s="62"/>
      <c r="AZ35" s="59"/>
      <c r="BA35" s="59"/>
      <c r="BB35" s="59"/>
      <c r="BC35" s="59"/>
      <c r="BD35" s="59"/>
      <c r="BE35" s="59"/>
      <c r="BF35" s="59"/>
      <c r="BG35" s="59"/>
      <c r="BH35" s="59"/>
      <c r="BI35" s="43"/>
      <c r="BJ35" s="63"/>
      <c r="BK35" s="64"/>
      <c r="BL35" s="64"/>
      <c r="BM35" s="64"/>
      <c r="BN35" s="64"/>
      <c r="BO35" s="60"/>
    </row>
    <row r="36" spans="1:67" s="47" customFormat="1" ht="19.149999999999999" customHeight="1">
      <c r="A36" s="48"/>
      <c r="B36" s="49"/>
      <c r="C36" s="29"/>
      <c r="D36" s="29"/>
      <c r="E36" s="29"/>
      <c r="F36" s="29"/>
      <c r="G36" s="29"/>
      <c r="H36" s="29"/>
      <c r="I36" s="50"/>
      <c r="J36" s="609"/>
      <c r="K36" s="52"/>
      <c r="L36" s="50"/>
      <c r="M36" s="50"/>
      <c r="N36" s="50"/>
      <c r="O36" s="50"/>
      <c r="P36" s="50"/>
      <c r="Q36" s="50"/>
      <c r="R36" s="50"/>
      <c r="S36" s="456"/>
      <c r="T36" s="53"/>
      <c r="U36" s="54"/>
      <c r="V36" s="29"/>
      <c r="W36" s="621"/>
      <c r="X36" s="31"/>
      <c r="Y36" s="31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2"/>
      <c r="AK36" s="32"/>
      <c r="AL36" s="32"/>
      <c r="AM36" s="33"/>
      <c r="AN36" s="37"/>
      <c r="AO36" s="52"/>
      <c r="AP36" s="57"/>
      <c r="AQ36" s="58"/>
      <c r="AR36" s="37"/>
      <c r="AS36" s="38"/>
      <c r="AT36" s="59"/>
      <c r="AU36" s="59"/>
      <c r="AV36" s="60"/>
      <c r="AW36" s="60"/>
      <c r="AX36" s="61"/>
      <c r="AY36" s="62"/>
      <c r="AZ36" s="59"/>
      <c r="BA36" s="59"/>
      <c r="BB36" s="59"/>
      <c r="BC36" s="59"/>
      <c r="BD36" s="59"/>
      <c r="BE36" s="59"/>
      <c r="BF36" s="59"/>
      <c r="BG36" s="59"/>
      <c r="BH36" s="59"/>
      <c r="BI36" s="43"/>
      <c r="BJ36" s="63"/>
      <c r="BK36" s="64"/>
      <c r="BL36" s="64"/>
      <c r="BM36" s="64"/>
      <c r="BN36" s="64"/>
      <c r="BO36" s="60"/>
    </row>
    <row r="37" spans="1:67" s="47" customFormat="1" ht="19.149999999999999" customHeight="1">
      <c r="A37" s="48"/>
      <c r="B37" s="49"/>
      <c r="C37" s="29"/>
      <c r="D37" s="29"/>
      <c r="E37" s="29"/>
      <c r="F37" s="29"/>
      <c r="G37" s="29"/>
      <c r="H37" s="29"/>
      <c r="I37" s="50"/>
      <c r="J37" s="609"/>
      <c r="K37" s="52"/>
      <c r="L37" s="50"/>
      <c r="M37" s="50"/>
      <c r="N37" s="50"/>
      <c r="O37" s="50"/>
      <c r="P37" s="50"/>
      <c r="Q37" s="50"/>
      <c r="R37" s="50"/>
      <c r="S37" s="456"/>
      <c r="T37" s="53"/>
      <c r="U37" s="54"/>
      <c r="V37" s="29"/>
      <c r="W37" s="621"/>
      <c r="X37" s="31"/>
      <c r="Y37" s="31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2"/>
      <c r="AK37" s="32"/>
      <c r="AL37" s="32"/>
      <c r="AM37" s="33"/>
      <c r="AN37" s="37"/>
      <c r="AO37" s="52"/>
      <c r="AP37" s="57"/>
      <c r="AQ37" s="58"/>
      <c r="AR37" s="37"/>
      <c r="AS37" s="38"/>
      <c r="AT37" s="59"/>
      <c r="AU37" s="59"/>
      <c r="AV37" s="60"/>
      <c r="AW37" s="60"/>
      <c r="AX37" s="61"/>
      <c r="AY37" s="62"/>
      <c r="AZ37" s="59"/>
      <c r="BA37" s="59"/>
      <c r="BB37" s="59"/>
      <c r="BC37" s="59"/>
      <c r="BD37" s="59"/>
      <c r="BE37" s="59"/>
      <c r="BF37" s="59"/>
      <c r="BG37" s="59"/>
      <c r="BH37" s="59"/>
      <c r="BI37" s="43"/>
      <c r="BJ37" s="63"/>
      <c r="BK37" s="64"/>
      <c r="BL37" s="64"/>
      <c r="BM37" s="64"/>
      <c r="BN37" s="64"/>
      <c r="BO37" s="60"/>
    </row>
    <row r="38" spans="1:67" s="47" customFormat="1" ht="19.149999999999999" customHeight="1">
      <c r="A38" s="48"/>
      <c r="B38" s="49"/>
      <c r="C38" s="29"/>
      <c r="D38" s="29"/>
      <c r="E38" s="29"/>
      <c r="F38" s="29"/>
      <c r="G38" s="29"/>
      <c r="H38" s="29"/>
      <c r="I38" s="50"/>
      <c r="J38" s="609"/>
      <c r="K38" s="52"/>
      <c r="L38" s="50"/>
      <c r="M38" s="50"/>
      <c r="N38" s="50"/>
      <c r="O38" s="50"/>
      <c r="P38" s="50"/>
      <c r="Q38" s="50"/>
      <c r="R38" s="50"/>
      <c r="S38" s="456"/>
      <c r="T38" s="53"/>
      <c r="U38" s="54"/>
      <c r="V38" s="29"/>
      <c r="W38" s="621"/>
      <c r="X38" s="31"/>
      <c r="Y38" s="31"/>
      <c r="Z38" s="30"/>
      <c r="AA38" s="30"/>
      <c r="AB38" s="30"/>
      <c r="AC38" s="30"/>
      <c r="AD38" s="30"/>
      <c r="AE38" s="30"/>
      <c r="AF38" s="30"/>
      <c r="AG38" s="30"/>
      <c r="AH38" s="30"/>
      <c r="AI38" s="52"/>
      <c r="AJ38" s="56"/>
      <c r="AK38" s="56"/>
      <c r="AL38" s="56"/>
      <c r="AM38" s="33"/>
      <c r="AN38" s="37"/>
      <c r="AO38" s="52"/>
      <c r="AP38" s="57"/>
      <c r="AQ38" s="58"/>
      <c r="AR38" s="37"/>
      <c r="AS38" s="38"/>
      <c r="AT38" s="59"/>
      <c r="AU38" s="59"/>
      <c r="AV38" s="60"/>
      <c r="AW38" s="60"/>
      <c r="AX38" s="61"/>
      <c r="AY38" s="62"/>
      <c r="AZ38" s="59"/>
      <c r="BA38" s="59"/>
      <c r="BB38" s="59"/>
      <c r="BC38" s="59"/>
      <c r="BD38" s="59"/>
      <c r="BE38" s="59"/>
      <c r="BF38" s="59"/>
      <c r="BG38" s="59"/>
      <c r="BH38" s="59"/>
      <c r="BI38" s="43"/>
      <c r="BJ38" s="63"/>
      <c r="BK38" s="64"/>
      <c r="BL38" s="64"/>
      <c r="BM38" s="64"/>
      <c r="BN38" s="64"/>
      <c r="BO38" s="60"/>
    </row>
    <row r="39" spans="1:67" s="47" customFormat="1" ht="19.149999999999999" customHeight="1">
      <c r="A39" s="48"/>
      <c r="B39" s="49"/>
      <c r="C39" s="29"/>
      <c r="D39" s="29"/>
      <c r="E39" s="29"/>
      <c r="F39" s="29"/>
      <c r="G39" s="29"/>
      <c r="H39" s="29"/>
      <c r="I39" s="51"/>
      <c r="J39" s="609"/>
      <c r="K39" s="52"/>
      <c r="L39" s="50"/>
      <c r="M39" s="50"/>
      <c r="N39" s="50"/>
      <c r="O39" s="50"/>
      <c r="P39" s="50"/>
      <c r="Q39" s="50"/>
      <c r="R39" s="50"/>
      <c r="S39" s="456"/>
      <c r="T39" s="53"/>
      <c r="U39" s="54"/>
      <c r="V39" s="29"/>
      <c r="W39" s="621"/>
      <c r="X39" s="31"/>
      <c r="Y39" s="31"/>
      <c r="Z39" s="30"/>
      <c r="AA39" s="30"/>
      <c r="AB39" s="30"/>
      <c r="AC39" s="30"/>
      <c r="AD39" s="30"/>
      <c r="AE39" s="30"/>
      <c r="AF39" s="30"/>
      <c r="AG39" s="30"/>
      <c r="AH39" s="30"/>
      <c r="AI39" s="52"/>
      <c r="AJ39" s="56"/>
      <c r="AK39" s="56"/>
      <c r="AL39" s="56"/>
      <c r="AM39" s="33"/>
      <c r="AN39" s="37"/>
      <c r="AO39" s="52"/>
      <c r="AP39" s="57"/>
      <c r="AQ39" s="58"/>
      <c r="AR39" s="37"/>
      <c r="AS39" s="38"/>
      <c r="AT39" s="59"/>
      <c r="AU39" s="59"/>
      <c r="AV39" s="60"/>
      <c r="AW39" s="60"/>
      <c r="AX39" s="61"/>
      <c r="AY39" s="62"/>
      <c r="AZ39" s="59"/>
      <c r="BA39" s="59"/>
      <c r="BB39" s="59"/>
      <c r="BC39" s="59"/>
      <c r="BD39" s="59"/>
      <c r="BE39" s="59"/>
      <c r="BF39" s="59"/>
      <c r="BG39" s="59"/>
      <c r="BH39" s="59"/>
      <c r="BI39" s="43"/>
      <c r="BJ39" s="63"/>
      <c r="BK39" s="64"/>
      <c r="BL39" s="64"/>
      <c r="BM39" s="64"/>
      <c r="BN39" s="64"/>
      <c r="BO39" s="60"/>
    </row>
    <row r="40" spans="1:67" s="47" customFormat="1" ht="19.149999999999999" customHeight="1">
      <c r="A40" s="48"/>
      <c r="B40" s="49"/>
      <c r="C40" s="29"/>
      <c r="D40" s="29"/>
      <c r="E40" s="29"/>
      <c r="F40" s="29"/>
      <c r="G40" s="29"/>
      <c r="H40" s="29"/>
      <c r="I40" s="50"/>
      <c r="J40" s="609"/>
      <c r="K40" s="52"/>
      <c r="L40" s="50"/>
      <c r="M40" s="50"/>
      <c r="N40" s="50"/>
      <c r="O40" s="50"/>
      <c r="P40" s="50"/>
      <c r="Q40" s="50"/>
      <c r="R40" s="50"/>
      <c r="S40" s="456"/>
      <c r="T40" s="53"/>
      <c r="U40" s="54"/>
      <c r="V40" s="29"/>
      <c r="W40" s="621"/>
      <c r="X40" s="31"/>
      <c r="Y40" s="31"/>
      <c r="Z40" s="30"/>
      <c r="AA40" s="30"/>
      <c r="AB40" s="30"/>
      <c r="AC40" s="30"/>
      <c r="AD40" s="30"/>
      <c r="AE40" s="30"/>
      <c r="AF40" s="30"/>
      <c r="AG40" s="30"/>
      <c r="AH40" s="30"/>
      <c r="AI40" s="52"/>
      <c r="AJ40" s="56"/>
      <c r="AK40" s="56"/>
      <c r="AL40" s="56"/>
      <c r="AM40" s="33"/>
      <c r="AN40" s="37"/>
      <c r="AO40" s="52"/>
      <c r="AP40" s="57"/>
      <c r="AQ40" s="58"/>
      <c r="AR40" s="37"/>
      <c r="AS40" s="38"/>
      <c r="AT40" s="59"/>
      <c r="AU40" s="59"/>
      <c r="AV40" s="60"/>
      <c r="AW40" s="60"/>
      <c r="AX40" s="61"/>
      <c r="AY40" s="62"/>
      <c r="AZ40" s="59"/>
      <c r="BA40" s="59"/>
      <c r="BB40" s="59"/>
      <c r="BC40" s="59"/>
      <c r="BD40" s="59"/>
      <c r="BE40" s="59"/>
      <c r="BF40" s="59"/>
      <c r="BG40" s="59"/>
      <c r="BH40" s="59"/>
      <c r="BI40" s="43"/>
      <c r="BJ40" s="63"/>
      <c r="BK40" s="64"/>
      <c r="BL40" s="64"/>
      <c r="BM40" s="64"/>
      <c r="BN40" s="64"/>
      <c r="BO40" s="60"/>
    </row>
    <row r="41" spans="1:67" s="47" customFormat="1" ht="19.149999999999999" customHeight="1">
      <c r="A41" s="48"/>
      <c r="B41" s="49"/>
      <c r="C41" s="29"/>
      <c r="D41" s="29"/>
      <c r="E41" s="29"/>
      <c r="F41" s="29"/>
      <c r="G41" s="29"/>
      <c r="H41" s="29"/>
      <c r="I41" s="50"/>
      <c r="J41" s="609"/>
      <c r="K41" s="52"/>
      <c r="L41" s="50"/>
      <c r="M41" s="50"/>
      <c r="N41" s="50"/>
      <c r="O41" s="50"/>
      <c r="P41" s="50"/>
      <c r="Q41" s="50"/>
      <c r="R41" s="50"/>
      <c r="S41" s="456"/>
      <c r="T41" s="53"/>
      <c r="U41" s="54"/>
      <c r="V41" s="29"/>
      <c r="W41" s="621"/>
      <c r="X41" s="31"/>
      <c r="Y41" s="31"/>
      <c r="Z41" s="30"/>
      <c r="AA41" s="30"/>
      <c r="AB41" s="30"/>
      <c r="AC41" s="30"/>
      <c r="AD41" s="30"/>
      <c r="AE41" s="30"/>
      <c r="AF41" s="30"/>
      <c r="AG41" s="30"/>
      <c r="AH41" s="30"/>
      <c r="AI41" s="52"/>
      <c r="AJ41" s="56"/>
      <c r="AK41" s="56"/>
      <c r="AL41" s="56"/>
      <c r="AM41" s="33"/>
      <c r="AN41" s="37"/>
      <c r="AO41" s="52"/>
      <c r="AP41" s="57"/>
      <c r="AQ41" s="58"/>
      <c r="AR41" s="37"/>
      <c r="AS41" s="38"/>
      <c r="AT41" s="59"/>
      <c r="AU41" s="59"/>
      <c r="AV41" s="60"/>
      <c r="AW41" s="60"/>
      <c r="AX41" s="61"/>
      <c r="AY41" s="62"/>
      <c r="AZ41" s="59"/>
      <c r="BA41" s="59"/>
      <c r="BB41" s="59"/>
      <c r="BC41" s="59"/>
      <c r="BD41" s="59"/>
      <c r="BE41" s="59"/>
      <c r="BF41" s="59"/>
      <c r="BG41" s="59"/>
      <c r="BH41" s="59"/>
      <c r="BI41" s="43"/>
      <c r="BJ41" s="63"/>
      <c r="BK41" s="64"/>
      <c r="BL41" s="64"/>
      <c r="BM41" s="64"/>
      <c r="BN41" s="64"/>
      <c r="BO41" s="60"/>
    </row>
    <row r="42" spans="1:67" s="47" customFormat="1" ht="19.149999999999999" customHeight="1">
      <c r="A42" s="48"/>
      <c r="B42" s="49"/>
      <c r="C42" s="29"/>
      <c r="D42" s="29"/>
      <c r="E42" s="29"/>
      <c r="F42" s="29"/>
      <c r="G42" s="29"/>
      <c r="H42" s="29"/>
      <c r="I42" s="50"/>
      <c r="J42" s="609"/>
      <c r="K42" s="52"/>
      <c r="L42" s="50"/>
      <c r="M42" s="50"/>
      <c r="N42" s="50"/>
      <c r="O42" s="50"/>
      <c r="P42" s="50"/>
      <c r="Q42" s="50"/>
      <c r="R42" s="50"/>
      <c r="S42" s="456"/>
      <c r="T42" s="53"/>
      <c r="U42" s="54"/>
      <c r="V42" s="29"/>
      <c r="W42" s="621"/>
      <c r="X42" s="31"/>
      <c r="Y42" s="31"/>
      <c r="Z42" s="30"/>
      <c r="AA42" s="30"/>
      <c r="AB42" s="30"/>
      <c r="AC42" s="30"/>
      <c r="AD42" s="30"/>
      <c r="AE42" s="30"/>
      <c r="AF42" s="30"/>
      <c r="AG42" s="30"/>
      <c r="AH42" s="30"/>
      <c r="AI42" s="52"/>
      <c r="AJ42" s="56"/>
      <c r="AK42" s="56"/>
      <c r="AL42" s="56"/>
      <c r="AM42" s="33"/>
      <c r="AN42" s="37"/>
      <c r="AO42" s="52"/>
      <c r="AP42" s="57"/>
      <c r="AQ42" s="58"/>
      <c r="AR42" s="37"/>
      <c r="AS42" s="38"/>
      <c r="AT42" s="59"/>
      <c r="AU42" s="59"/>
      <c r="AV42" s="60"/>
      <c r="AW42" s="60"/>
      <c r="AX42" s="61"/>
      <c r="AY42" s="62"/>
      <c r="AZ42" s="59"/>
      <c r="BA42" s="59"/>
      <c r="BB42" s="59"/>
      <c r="BC42" s="59"/>
      <c r="BD42" s="59"/>
      <c r="BE42" s="59"/>
      <c r="BF42" s="59"/>
      <c r="BG42" s="59"/>
      <c r="BH42" s="59"/>
      <c r="BI42" s="43"/>
      <c r="BJ42" s="63"/>
      <c r="BK42" s="64"/>
      <c r="BL42" s="64"/>
      <c r="BM42" s="64"/>
      <c r="BN42" s="64"/>
      <c r="BO42" s="60"/>
    </row>
    <row r="43" spans="1:67" s="47" customFormat="1" ht="19.149999999999999" customHeight="1">
      <c r="A43" s="48"/>
      <c r="B43" s="49"/>
      <c r="C43" s="29"/>
      <c r="D43" s="29"/>
      <c r="E43" s="29"/>
      <c r="F43" s="29"/>
      <c r="G43" s="29"/>
      <c r="H43" s="29"/>
      <c r="I43" s="67"/>
      <c r="J43" s="609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21"/>
      <c r="X43" s="31"/>
      <c r="Y43" s="31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66"/>
      <c r="AK43" s="56"/>
      <c r="AL43" s="56"/>
      <c r="AM43" s="33"/>
      <c r="AN43" s="37"/>
      <c r="AO43" s="52"/>
      <c r="AP43" s="57"/>
      <c r="AQ43" s="58"/>
      <c r="AR43" s="37"/>
      <c r="AS43" s="38"/>
      <c r="AT43" s="59"/>
      <c r="AU43" s="59"/>
      <c r="AV43" s="60"/>
      <c r="AW43" s="60"/>
      <c r="AX43" s="61"/>
      <c r="AY43" s="62"/>
      <c r="AZ43" s="59"/>
      <c r="BA43" s="59"/>
      <c r="BB43" s="59"/>
      <c r="BC43" s="59"/>
      <c r="BD43" s="59"/>
      <c r="BE43" s="59"/>
      <c r="BF43" s="59"/>
      <c r="BG43" s="59"/>
      <c r="BH43" s="59"/>
      <c r="BI43" s="43"/>
      <c r="BJ43" s="63"/>
      <c r="BK43" s="64"/>
      <c r="BL43" s="64"/>
      <c r="BM43" s="64"/>
      <c r="BN43" s="64"/>
      <c r="BO43" s="60"/>
    </row>
    <row r="44" spans="1:67" s="47" customFormat="1" ht="19.149999999999999" customHeight="1">
      <c r="A44" s="631"/>
      <c r="B44" s="49"/>
      <c r="C44" s="29"/>
      <c r="D44" s="29"/>
      <c r="E44" s="29"/>
      <c r="F44" s="29"/>
      <c r="G44" s="29"/>
      <c r="H44" s="29"/>
      <c r="I44" s="634"/>
      <c r="J44" s="609"/>
      <c r="K44" s="635"/>
      <c r="L44" s="635"/>
      <c r="M44" s="635"/>
      <c r="N44" s="635"/>
      <c r="O44" s="635"/>
      <c r="P44" s="635"/>
      <c r="Q44" s="635"/>
      <c r="R44" s="635"/>
      <c r="S44" s="635"/>
      <c r="T44" s="635"/>
      <c r="U44" s="635"/>
      <c r="V44" s="635"/>
      <c r="W44" s="621"/>
      <c r="X44" s="31"/>
      <c r="Y44" s="31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635"/>
      <c r="AK44" s="636"/>
      <c r="AL44" s="636"/>
      <c r="AM44" s="33"/>
      <c r="AN44" s="637"/>
      <c r="AO44" s="638"/>
      <c r="AP44" s="639"/>
      <c r="AQ44" s="640"/>
      <c r="AR44" s="37"/>
      <c r="AS44" s="38"/>
      <c r="AT44" s="59"/>
      <c r="AU44" s="59"/>
      <c r="AV44" s="60"/>
      <c r="AW44" s="60"/>
      <c r="AX44" s="61"/>
      <c r="AY44" s="62"/>
      <c r="AZ44" s="59"/>
      <c r="BA44" s="59"/>
      <c r="BB44" s="59"/>
      <c r="BC44" s="59"/>
      <c r="BD44" s="59"/>
      <c r="BE44" s="59"/>
      <c r="BF44" s="59"/>
      <c r="BG44" s="59"/>
      <c r="BH44" s="59"/>
      <c r="BI44" s="43"/>
      <c r="BJ44" s="63"/>
      <c r="BK44" s="64"/>
      <c r="BL44" s="64"/>
      <c r="BM44" s="64"/>
      <c r="BN44" s="64"/>
      <c r="BO44" s="60"/>
    </row>
    <row r="45" spans="1:67" s="47" customFormat="1" ht="19.149999999999999" customHeight="1">
      <c r="A45" s="631"/>
      <c r="B45" s="49"/>
      <c r="C45" s="29"/>
      <c r="D45" s="29"/>
      <c r="E45" s="29"/>
      <c r="F45" s="29"/>
      <c r="G45" s="29"/>
      <c r="H45" s="29"/>
      <c r="I45" s="634"/>
      <c r="J45" s="609"/>
      <c r="K45" s="635"/>
      <c r="L45" s="635"/>
      <c r="M45" s="635"/>
      <c r="N45" s="635"/>
      <c r="O45" s="635"/>
      <c r="P45" s="635"/>
      <c r="Q45" s="635"/>
      <c r="R45" s="635"/>
      <c r="S45" s="635"/>
      <c r="T45" s="635"/>
      <c r="U45" s="635"/>
      <c r="V45" s="635"/>
      <c r="W45" s="621"/>
      <c r="X45" s="31"/>
      <c r="Y45" s="31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635"/>
      <c r="AK45" s="636"/>
      <c r="AL45" s="636"/>
      <c r="AM45" s="33"/>
      <c r="AN45" s="637"/>
      <c r="AO45" s="638"/>
      <c r="AP45" s="639"/>
      <c r="AQ45" s="640"/>
      <c r="AR45" s="37"/>
      <c r="AS45" s="38"/>
      <c r="AT45" s="59"/>
      <c r="AU45" s="59"/>
      <c r="AV45" s="60"/>
      <c r="AW45" s="60"/>
      <c r="AX45" s="61"/>
      <c r="AY45" s="62"/>
      <c r="AZ45" s="59"/>
      <c r="BA45" s="59"/>
      <c r="BB45" s="59"/>
      <c r="BC45" s="59"/>
      <c r="BD45" s="59"/>
      <c r="BE45" s="59"/>
      <c r="BF45" s="59"/>
      <c r="BG45" s="59"/>
      <c r="BH45" s="59"/>
      <c r="BI45" s="43"/>
      <c r="BJ45" s="63"/>
      <c r="BK45" s="64"/>
      <c r="BL45" s="64"/>
      <c r="BM45" s="64"/>
      <c r="BN45" s="64"/>
      <c r="BO45" s="60"/>
    </row>
    <row r="46" spans="1:67" s="47" customFormat="1" ht="19.149999999999999" customHeight="1">
      <c r="A46" s="631"/>
      <c r="B46" s="49"/>
      <c r="C46" s="29"/>
      <c r="D46" s="29"/>
      <c r="E46" s="29"/>
      <c r="F46" s="29"/>
      <c r="G46" s="29"/>
      <c r="H46" s="29"/>
      <c r="I46" s="634"/>
      <c r="J46" s="609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21"/>
      <c r="X46" s="31"/>
      <c r="Y46" s="31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635"/>
      <c r="AK46" s="636"/>
      <c r="AL46" s="636"/>
      <c r="AM46" s="33"/>
      <c r="AN46" s="637"/>
      <c r="AO46" s="638"/>
      <c r="AP46" s="639"/>
      <c r="AQ46" s="640"/>
      <c r="AR46" s="37"/>
      <c r="AS46" s="38"/>
      <c r="AT46" s="59"/>
      <c r="AU46" s="59"/>
      <c r="AV46" s="60"/>
      <c r="AW46" s="60"/>
      <c r="AX46" s="61"/>
      <c r="AY46" s="62"/>
      <c r="AZ46" s="59"/>
      <c r="BA46" s="59"/>
      <c r="BB46" s="59"/>
      <c r="BC46" s="59"/>
      <c r="BD46" s="59"/>
      <c r="BE46" s="59"/>
      <c r="BF46" s="59"/>
      <c r="BG46" s="59"/>
      <c r="BH46" s="59"/>
      <c r="BI46" s="43"/>
      <c r="BJ46" s="63"/>
      <c r="BK46" s="64"/>
      <c r="BL46" s="64"/>
      <c r="BM46" s="64"/>
      <c r="BN46" s="64"/>
      <c r="BO46" s="60"/>
    </row>
    <row r="47" spans="1:67" s="47" customFormat="1" ht="19.149999999999999" customHeight="1">
      <c r="A47" s="631"/>
      <c r="B47" s="49"/>
      <c r="C47" s="29"/>
      <c r="D47" s="29"/>
      <c r="E47" s="29"/>
      <c r="F47" s="29"/>
      <c r="G47" s="29"/>
      <c r="H47" s="29"/>
      <c r="I47" s="634"/>
      <c r="J47" s="609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21"/>
      <c r="X47" s="31"/>
      <c r="Y47" s="31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635"/>
      <c r="AK47" s="636"/>
      <c r="AL47" s="636"/>
      <c r="AM47" s="33"/>
      <c r="AN47" s="637"/>
      <c r="AO47" s="638"/>
      <c r="AP47" s="639"/>
      <c r="AQ47" s="640"/>
      <c r="AR47" s="37"/>
      <c r="AS47" s="38"/>
      <c r="AT47" s="59"/>
      <c r="AU47" s="59"/>
      <c r="AV47" s="60"/>
      <c r="AW47" s="60"/>
      <c r="AX47" s="61"/>
      <c r="AY47" s="62"/>
      <c r="AZ47" s="59"/>
      <c r="BA47" s="59"/>
      <c r="BB47" s="59"/>
      <c r="BC47" s="59"/>
      <c r="BD47" s="59"/>
      <c r="BE47" s="59"/>
      <c r="BF47" s="59"/>
      <c r="BG47" s="59"/>
      <c r="BH47" s="59"/>
      <c r="BI47" s="43"/>
      <c r="BJ47" s="63"/>
      <c r="BK47" s="64"/>
      <c r="BL47" s="64"/>
      <c r="BM47" s="64"/>
      <c r="BN47" s="64"/>
      <c r="BO47" s="60"/>
    </row>
    <row r="48" spans="1:67" s="47" customFormat="1" ht="19.149999999999999" customHeight="1">
      <c r="A48" s="631"/>
      <c r="B48" s="49"/>
      <c r="C48" s="29"/>
      <c r="D48" s="29"/>
      <c r="E48" s="29"/>
      <c r="F48" s="29"/>
      <c r="G48" s="29"/>
      <c r="H48" s="29"/>
      <c r="I48" s="634"/>
      <c r="J48" s="609"/>
      <c r="K48" s="635"/>
      <c r="L48" s="635"/>
      <c r="M48" s="635"/>
      <c r="N48" s="635"/>
      <c r="O48" s="635"/>
      <c r="P48" s="635"/>
      <c r="Q48" s="635"/>
      <c r="R48" s="635"/>
      <c r="S48" s="635"/>
      <c r="T48" s="635"/>
      <c r="U48" s="635"/>
      <c r="V48" s="635"/>
      <c r="W48" s="621"/>
      <c r="X48" s="31"/>
      <c r="Y48" s="31"/>
      <c r="Z48" s="635"/>
      <c r="AA48" s="635"/>
      <c r="AB48" s="635"/>
      <c r="AC48" s="635"/>
      <c r="AD48" s="635"/>
      <c r="AE48" s="635"/>
      <c r="AF48" s="635"/>
      <c r="AG48" s="635"/>
      <c r="AH48" s="635"/>
      <c r="AI48" s="635"/>
      <c r="AJ48" s="635"/>
      <c r="AK48" s="636"/>
      <c r="AL48" s="636"/>
      <c r="AM48" s="33"/>
      <c r="AN48" s="637"/>
      <c r="AO48" s="638"/>
      <c r="AP48" s="639"/>
      <c r="AQ48" s="640"/>
      <c r="AR48" s="37"/>
      <c r="AS48" s="38"/>
      <c r="AT48" s="59"/>
      <c r="AU48" s="59"/>
      <c r="AV48" s="60"/>
      <c r="AW48" s="60"/>
      <c r="AX48" s="61"/>
      <c r="AY48" s="62"/>
      <c r="AZ48" s="59"/>
      <c r="BA48" s="59"/>
      <c r="BB48" s="59"/>
      <c r="BC48" s="59"/>
      <c r="BD48" s="59"/>
      <c r="BE48" s="59"/>
      <c r="BF48" s="59"/>
      <c r="BG48" s="59"/>
      <c r="BH48" s="59"/>
      <c r="BI48" s="43"/>
      <c r="BJ48" s="63"/>
      <c r="BK48" s="64"/>
      <c r="BL48" s="64"/>
      <c r="BM48" s="64"/>
      <c r="BN48" s="64"/>
      <c r="BO48" s="60"/>
    </row>
    <row r="49" spans="1:67" s="47" customFormat="1" ht="19.149999999999999" customHeight="1">
      <c r="A49" s="631"/>
      <c r="B49" s="49"/>
      <c r="C49" s="29"/>
      <c r="D49" s="29"/>
      <c r="E49" s="29"/>
      <c r="F49" s="29"/>
      <c r="G49" s="29"/>
      <c r="H49" s="29"/>
      <c r="I49" s="634"/>
      <c r="J49" s="609"/>
      <c r="K49" s="635"/>
      <c r="L49" s="635"/>
      <c r="M49" s="635"/>
      <c r="N49" s="635"/>
      <c r="O49" s="635"/>
      <c r="P49" s="635"/>
      <c r="Q49" s="635"/>
      <c r="R49" s="635"/>
      <c r="S49" s="635"/>
      <c r="T49" s="635"/>
      <c r="U49" s="635"/>
      <c r="V49" s="635"/>
      <c r="W49" s="621"/>
      <c r="X49" s="31"/>
      <c r="Y49" s="31"/>
      <c r="Z49" s="635"/>
      <c r="AA49" s="635"/>
      <c r="AB49" s="635"/>
      <c r="AC49" s="635"/>
      <c r="AD49" s="635"/>
      <c r="AE49" s="635"/>
      <c r="AF49" s="635"/>
      <c r="AG49" s="635"/>
      <c r="AH49" s="635"/>
      <c r="AI49" s="635"/>
      <c r="AJ49" s="635"/>
      <c r="AK49" s="636"/>
      <c r="AL49" s="636"/>
      <c r="AM49" s="33"/>
      <c r="AN49" s="637"/>
      <c r="AO49" s="638"/>
      <c r="AP49" s="639"/>
      <c r="AQ49" s="640"/>
      <c r="AR49" s="37"/>
      <c r="AS49" s="38"/>
      <c r="AT49" s="59"/>
      <c r="AU49" s="59"/>
      <c r="AV49" s="60"/>
      <c r="AW49" s="60"/>
      <c r="AX49" s="61"/>
      <c r="AY49" s="62"/>
      <c r="AZ49" s="59"/>
      <c r="BA49" s="59"/>
      <c r="BB49" s="59"/>
      <c r="BC49" s="59"/>
      <c r="BD49" s="59"/>
      <c r="BE49" s="59"/>
      <c r="BF49" s="59"/>
      <c r="BG49" s="59"/>
      <c r="BH49" s="59"/>
      <c r="BI49" s="43"/>
      <c r="BJ49" s="63"/>
      <c r="BK49" s="64"/>
      <c r="BL49" s="64"/>
      <c r="BM49" s="64"/>
      <c r="BN49" s="64"/>
      <c r="BO49" s="60"/>
    </row>
    <row r="50" spans="1:67" s="47" customFormat="1" ht="19.149999999999999" customHeight="1">
      <c r="A50" s="631"/>
      <c r="B50" s="49"/>
      <c r="C50" s="29"/>
      <c r="D50" s="29"/>
      <c r="E50" s="29"/>
      <c r="F50" s="29"/>
      <c r="G50" s="29"/>
      <c r="H50" s="29"/>
      <c r="I50" s="634"/>
      <c r="J50" s="609"/>
      <c r="K50" s="635"/>
      <c r="L50" s="635"/>
      <c r="M50" s="635"/>
      <c r="N50" s="635"/>
      <c r="O50" s="635"/>
      <c r="P50" s="635"/>
      <c r="Q50" s="635"/>
      <c r="R50" s="635"/>
      <c r="S50" s="635"/>
      <c r="T50" s="635"/>
      <c r="U50" s="635"/>
      <c r="V50" s="635"/>
      <c r="W50" s="55"/>
      <c r="X50" s="31"/>
      <c r="Y50" s="31"/>
      <c r="Z50" s="635"/>
      <c r="AA50" s="635"/>
      <c r="AB50" s="635"/>
      <c r="AC50" s="635"/>
      <c r="AD50" s="635"/>
      <c r="AE50" s="635"/>
      <c r="AF50" s="635"/>
      <c r="AG50" s="635"/>
      <c r="AH50" s="635"/>
      <c r="AI50" s="635"/>
      <c r="AJ50" s="635"/>
      <c r="AK50" s="636"/>
      <c r="AL50" s="636"/>
      <c r="AM50" s="33"/>
      <c r="AN50" s="637"/>
      <c r="AO50" s="638"/>
      <c r="AP50" s="639"/>
      <c r="AQ50" s="640"/>
      <c r="AR50" s="37"/>
      <c r="AS50" s="38"/>
      <c r="AT50" s="59"/>
      <c r="AU50" s="59"/>
      <c r="AV50" s="60"/>
      <c r="AW50" s="60"/>
      <c r="AX50" s="61"/>
      <c r="AY50" s="62"/>
      <c r="AZ50" s="59"/>
      <c r="BA50" s="59"/>
      <c r="BB50" s="59"/>
      <c r="BC50" s="59"/>
      <c r="BD50" s="59"/>
      <c r="BE50" s="59"/>
      <c r="BF50" s="59"/>
      <c r="BG50" s="59"/>
      <c r="BH50" s="59"/>
      <c r="BI50" s="43"/>
      <c r="BJ50" s="63"/>
      <c r="BK50" s="64"/>
      <c r="BL50" s="64"/>
      <c r="BM50" s="64"/>
      <c r="BN50" s="64"/>
      <c r="BO50" s="60"/>
    </row>
    <row r="51" spans="1:67" s="47" customFormat="1" ht="19.149999999999999" customHeight="1">
      <c r="A51" s="631"/>
      <c r="B51" s="49"/>
      <c r="C51" s="29"/>
      <c r="D51" s="29"/>
      <c r="E51" s="29"/>
      <c r="F51" s="29"/>
      <c r="G51" s="29"/>
      <c r="H51" s="29"/>
      <c r="I51" s="634"/>
      <c r="J51" s="609"/>
      <c r="K51" s="635"/>
      <c r="L51" s="635"/>
      <c r="M51" s="635"/>
      <c r="N51" s="635"/>
      <c r="O51" s="635"/>
      <c r="P51" s="635"/>
      <c r="Q51" s="635"/>
      <c r="R51" s="635"/>
      <c r="S51" s="635"/>
      <c r="T51" s="635"/>
      <c r="U51" s="642"/>
      <c r="V51" s="635"/>
      <c r="W51" s="621"/>
      <c r="X51" s="31"/>
      <c r="Y51" s="31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2"/>
      <c r="AK51" s="32"/>
      <c r="AL51" s="32"/>
      <c r="AM51" s="33"/>
      <c r="AN51" s="637"/>
      <c r="AO51" s="638"/>
      <c r="AP51" s="639"/>
      <c r="AQ51" s="640"/>
      <c r="AR51" s="37"/>
      <c r="AS51" s="38"/>
      <c r="AT51" s="59"/>
      <c r="AU51" s="59"/>
      <c r="AV51" s="60"/>
      <c r="AW51" s="60"/>
      <c r="AX51" s="61"/>
      <c r="AY51" s="62"/>
      <c r="AZ51" s="59"/>
      <c r="BA51" s="59"/>
      <c r="BB51" s="59"/>
      <c r="BC51" s="59"/>
      <c r="BD51" s="59"/>
      <c r="BE51" s="59"/>
      <c r="BF51" s="59"/>
      <c r="BG51" s="59"/>
      <c r="BH51" s="59"/>
      <c r="BI51" s="43"/>
      <c r="BJ51" s="63"/>
      <c r="BK51" s="64"/>
      <c r="BL51" s="64"/>
      <c r="BM51" s="64"/>
      <c r="BN51" s="64"/>
      <c r="BO51" s="60"/>
    </row>
    <row r="52" spans="1:67" s="47" customFormat="1" ht="19.149999999999999" customHeight="1">
      <c r="A52" s="631"/>
      <c r="B52" s="49"/>
      <c r="C52" s="29"/>
      <c r="D52" s="29"/>
      <c r="E52" s="29"/>
      <c r="F52" s="29"/>
      <c r="G52" s="29"/>
      <c r="H52" s="29"/>
      <c r="I52" s="634"/>
      <c r="J52" s="609"/>
      <c r="K52" s="635"/>
      <c r="L52" s="635"/>
      <c r="M52" s="635"/>
      <c r="N52" s="635"/>
      <c r="O52" s="635"/>
      <c r="P52" s="635"/>
      <c r="Q52" s="635"/>
      <c r="R52" s="635"/>
      <c r="S52" s="635"/>
      <c r="T52" s="635"/>
      <c r="U52" s="642"/>
      <c r="V52" s="635"/>
      <c r="W52" s="621"/>
      <c r="X52" s="31"/>
      <c r="Y52" s="31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2"/>
      <c r="AK52" s="32"/>
      <c r="AL52" s="32"/>
      <c r="AM52" s="33"/>
      <c r="AN52" s="637"/>
      <c r="AO52" s="638"/>
      <c r="AP52" s="639"/>
      <c r="AQ52" s="640"/>
      <c r="AR52" s="37"/>
      <c r="AS52" s="38"/>
      <c r="AT52" s="59"/>
      <c r="AU52" s="59"/>
      <c r="AV52" s="60"/>
      <c r="AW52" s="60"/>
      <c r="AX52" s="61"/>
      <c r="AY52" s="62"/>
      <c r="AZ52" s="59"/>
      <c r="BA52" s="59"/>
      <c r="BB52" s="59"/>
      <c r="BC52" s="59"/>
      <c r="BD52" s="59"/>
      <c r="BE52" s="59"/>
      <c r="BF52" s="59"/>
      <c r="BG52" s="59"/>
      <c r="BH52" s="59"/>
      <c r="BI52" s="43"/>
      <c r="BJ52" s="63"/>
      <c r="BK52" s="64"/>
      <c r="BL52" s="64"/>
      <c r="BM52" s="64"/>
      <c r="BN52" s="64"/>
      <c r="BO52" s="60"/>
    </row>
    <row r="53" spans="1:67" s="47" customFormat="1" ht="19.149999999999999" customHeight="1">
      <c r="A53" s="631"/>
      <c r="B53" s="49"/>
      <c r="C53" s="29"/>
      <c r="D53" s="29"/>
      <c r="E53" s="29"/>
      <c r="F53" s="29"/>
      <c r="G53" s="29"/>
      <c r="H53" s="29"/>
      <c r="I53" s="634"/>
      <c r="J53" s="609"/>
      <c r="K53" s="635"/>
      <c r="L53" s="635"/>
      <c r="M53" s="635"/>
      <c r="N53" s="635"/>
      <c r="O53" s="635"/>
      <c r="P53" s="635"/>
      <c r="Q53" s="635"/>
      <c r="R53" s="635"/>
      <c r="S53" s="635"/>
      <c r="T53" s="635"/>
      <c r="U53" s="635"/>
      <c r="V53" s="635"/>
      <c r="W53" s="55"/>
      <c r="X53" s="31"/>
      <c r="Y53" s="31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2"/>
      <c r="AK53" s="32"/>
      <c r="AL53" s="32"/>
      <c r="AM53" s="33"/>
      <c r="AN53" s="637"/>
      <c r="AO53" s="638"/>
      <c r="AP53" s="639"/>
      <c r="AQ53" s="640"/>
      <c r="AR53" s="37"/>
      <c r="AS53" s="38"/>
      <c r="AT53" s="59"/>
      <c r="AU53" s="59"/>
      <c r="AV53" s="60"/>
      <c r="AW53" s="60"/>
      <c r="AX53" s="61"/>
      <c r="AY53" s="62"/>
      <c r="AZ53" s="59"/>
      <c r="BA53" s="59"/>
      <c r="BB53" s="59"/>
      <c r="BC53" s="59"/>
      <c r="BD53" s="59"/>
      <c r="BE53" s="59"/>
      <c r="BF53" s="59"/>
      <c r="BG53" s="59"/>
      <c r="BH53" s="59"/>
      <c r="BI53" s="43"/>
      <c r="BJ53" s="63"/>
      <c r="BK53" s="64"/>
      <c r="BL53" s="64"/>
      <c r="BM53" s="64"/>
      <c r="BN53" s="64"/>
      <c r="BO53" s="60"/>
    </row>
    <row r="54" spans="1:67" s="47" customFormat="1" ht="19.149999999999999" customHeight="1">
      <c r="A54" s="631"/>
      <c r="B54" s="49"/>
      <c r="C54" s="29"/>
      <c r="D54" s="29"/>
      <c r="E54" s="29"/>
      <c r="F54" s="29"/>
      <c r="G54" s="29"/>
      <c r="H54" s="29"/>
      <c r="I54" s="634"/>
      <c r="J54" s="609"/>
      <c r="K54" s="635"/>
      <c r="L54" s="635"/>
      <c r="M54" s="635"/>
      <c r="N54" s="635"/>
      <c r="O54" s="635"/>
      <c r="P54" s="635"/>
      <c r="Q54" s="635"/>
      <c r="R54" s="635"/>
      <c r="S54" s="635"/>
      <c r="T54" s="635"/>
      <c r="U54" s="635"/>
      <c r="V54" s="635"/>
      <c r="W54" s="55"/>
      <c r="X54" s="31"/>
      <c r="Y54" s="31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2"/>
      <c r="AK54" s="32"/>
      <c r="AL54" s="32"/>
      <c r="AM54" s="33"/>
      <c r="AN54" s="637"/>
      <c r="AO54" s="638"/>
      <c r="AP54" s="639"/>
      <c r="AQ54" s="640"/>
      <c r="AR54" s="37"/>
      <c r="AS54" s="38"/>
      <c r="AT54" s="59"/>
      <c r="AU54" s="59"/>
      <c r="AV54" s="60"/>
      <c r="AW54" s="60"/>
      <c r="AX54" s="61"/>
      <c r="AY54" s="62"/>
      <c r="AZ54" s="59"/>
      <c r="BA54" s="59"/>
      <c r="BB54" s="59"/>
      <c r="BC54" s="59"/>
      <c r="BD54" s="59"/>
      <c r="BE54" s="59"/>
      <c r="BF54" s="59"/>
      <c r="BG54" s="59"/>
      <c r="BH54" s="59"/>
      <c r="BI54" s="43"/>
      <c r="BJ54" s="63"/>
      <c r="BK54" s="64"/>
      <c r="BL54" s="64"/>
      <c r="BM54" s="64"/>
      <c r="BN54" s="64"/>
      <c r="BO54" s="60"/>
    </row>
    <row r="55" spans="1:67" s="47" customFormat="1" ht="19.149999999999999" customHeight="1">
      <c r="A55" s="631"/>
      <c r="B55" s="632"/>
      <c r="C55" s="633"/>
      <c r="D55" s="633"/>
      <c r="E55" s="633"/>
      <c r="F55" s="633"/>
      <c r="G55" s="633"/>
      <c r="H55" s="633"/>
      <c r="I55" s="634"/>
      <c r="J55" s="634"/>
      <c r="K55" s="635"/>
      <c r="L55" s="635"/>
      <c r="M55" s="635"/>
      <c r="N55" s="635"/>
      <c r="O55" s="635"/>
      <c r="P55" s="635"/>
      <c r="Q55" s="635"/>
      <c r="R55" s="635"/>
      <c r="S55" s="635"/>
      <c r="T55" s="635"/>
      <c r="U55" s="635"/>
      <c r="V55" s="635"/>
      <c r="W55" s="55"/>
      <c r="X55" s="31"/>
      <c r="Y55" s="31"/>
      <c r="Z55" s="30">
        <f>IF(C55&gt;0,Y55*INDEX(参数!N:N,MATCH(J55,参数!A:A,0)),0)</f>
        <v>0</v>
      </c>
      <c r="AA55" s="30">
        <f>IF(D55&gt;0,Y55*INDEX(参数!AB:AB,MATCH(J55,参数!A:A,0)),0)</f>
        <v>0</v>
      </c>
      <c r="AB55" s="30">
        <f>IF(E55&gt;0,Y55*INDEX(参数!R:R,MATCH(J55,参数!A:A,0)),0)</f>
        <v>0</v>
      </c>
      <c r="AC55" s="30">
        <f>IF(H55&gt;0,Y55*INDEX(参数!AL:AL,MATCH(J55,参数!A:A,0)),0)</f>
        <v>0</v>
      </c>
      <c r="AD55" s="30">
        <f>IF(C55&gt;0,Y55*INDEX(参数!M:M,MATCH(J55,参数!A:A,0)),0)</f>
        <v>0</v>
      </c>
      <c r="AE55" s="30">
        <f>IF(D55&gt;0,Y55*INDEX(参数!AA:AA,MATCH(J55,参数!A:A,0)),0)</f>
        <v>0</v>
      </c>
      <c r="AF55" s="30">
        <f>IF(E55&gt;0,Y55*INDEX(参数!Q:Q,MATCH(J55,参数!A:A,0)),0)</f>
        <v>0</v>
      </c>
      <c r="AG55" s="30">
        <f>IF(F55&gt;0,Y55*INDEX(参数!W:W,MATCH(J55,参数!A:A,0)),0)</f>
        <v>0</v>
      </c>
      <c r="AH55" s="30">
        <f>IF(G55&gt;0,Y55*INDEX(参数!AE:AE,MATCH(J55,参数!A:A,0)),0)</f>
        <v>0</v>
      </c>
      <c r="AI55" s="30">
        <f>IF(H55&gt;0,Y55*INDEX(参数!AL:AL,MATCH(J55,参数!A:A,0)),0)</f>
        <v>0</v>
      </c>
      <c r="AJ55" s="32">
        <f t="shared" ref="AJ52:AJ56" si="19">AY55</f>
        <v>0</v>
      </c>
      <c r="AK55" s="32"/>
      <c r="AL55" s="32"/>
      <c r="AM55" s="33">
        <f t="shared" ref="AM52:AM56" si="20">X55-Z55-AA55-AB55-AC55-AJ55-AK55-AL55</f>
        <v>0</v>
      </c>
      <c r="AN55" s="637"/>
      <c r="AO55" s="638"/>
      <c r="AP55" s="639"/>
      <c r="AQ55" s="640"/>
      <c r="AR55" s="37"/>
      <c r="AS55" s="38"/>
      <c r="AT55" s="59"/>
      <c r="AU55" s="59"/>
      <c r="AV55" s="60"/>
      <c r="AW55" s="60"/>
      <c r="AX55" s="61"/>
      <c r="AY55" s="62"/>
      <c r="AZ55" s="59"/>
      <c r="BA55" s="59"/>
      <c r="BB55" s="59"/>
      <c r="BC55" s="59"/>
      <c r="BD55" s="59"/>
      <c r="BE55" s="59"/>
      <c r="BF55" s="59"/>
      <c r="BG55" s="59"/>
      <c r="BH55" s="59"/>
      <c r="BI55" s="43"/>
      <c r="BJ55" s="63"/>
      <c r="BK55" s="64"/>
      <c r="BL55" s="64"/>
      <c r="BM55" s="64"/>
      <c r="BN55" s="64"/>
      <c r="BO55" s="60"/>
    </row>
    <row r="56" spans="1:67" s="47" customFormat="1" ht="19.149999999999999" customHeight="1">
      <c r="A56" s="631"/>
      <c r="B56" s="632"/>
      <c r="C56" s="633"/>
      <c r="D56" s="633"/>
      <c r="E56" s="633"/>
      <c r="F56" s="633"/>
      <c r="G56" s="633"/>
      <c r="H56" s="633"/>
      <c r="I56" s="634"/>
      <c r="J56" s="634"/>
      <c r="K56" s="635"/>
      <c r="L56" s="635"/>
      <c r="M56" s="635"/>
      <c r="N56" s="635"/>
      <c r="O56" s="635"/>
      <c r="P56" s="635"/>
      <c r="Q56" s="635"/>
      <c r="R56" s="635"/>
      <c r="S56" s="635"/>
      <c r="T56" s="635"/>
      <c r="U56" s="635"/>
      <c r="V56" s="635"/>
      <c r="W56" s="55"/>
      <c r="X56" s="31"/>
      <c r="Y56" s="31"/>
      <c r="Z56" s="30">
        <f>IF(C56&gt;0,Y56*INDEX(参数!N:N,MATCH(J56,参数!A:A,0)),0)</f>
        <v>0</v>
      </c>
      <c r="AA56" s="30">
        <f>IF(D56&gt;0,Y56*INDEX(参数!AB:AB,MATCH(J56,参数!A:A,0)),0)</f>
        <v>0</v>
      </c>
      <c r="AB56" s="30">
        <f>IF(E56&gt;0,Y56*INDEX(参数!R:R,MATCH(J56,参数!A:A,0)),0)</f>
        <v>0</v>
      </c>
      <c r="AC56" s="30">
        <f>IF(H56&gt;0,Y56*INDEX(参数!AL:AL,MATCH(J56,参数!A:A,0)),0)</f>
        <v>0</v>
      </c>
      <c r="AD56" s="30">
        <f>IF(C56&gt;0,Y56*INDEX(参数!M:M,MATCH(J56,参数!A:A,0)),0)</f>
        <v>0</v>
      </c>
      <c r="AE56" s="30">
        <f>IF(D56&gt;0,Y56*INDEX(参数!AA:AA,MATCH(J56,参数!A:A,0)),0)</f>
        <v>0</v>
      </c>
      <c r="AF56" s="30">
        <f>IF(E56&gt;0,Y56*INDEX(参数!Q:Q,MATCH(J56,参数!A:A,0)),0)</f>
        <v>0</v>
      </c>
      <c r="AG56" s="30">
        <f>IF(F56&gt;0,Y56*INDEX(参数!W:W,MATCH(J56,参数!A:A,0)),0)</f>
        <v>0</v>
      </c>
      <c r="AH56" s="30">
        <f>IF(G56&gt;0,Y56*INDEX(参数!AE:AE,MATCH(J56,参数!A:A,0)),0)</f>
        <v>0</v>
      </c>
      <c r="AI56" s="30">
        <f>IF(H56&gt;0,Y56*INDEX(参数!AL:AL,MATCH(J56,参数!A:A,0)),0)</f>
        <v>0</v>
      </c>
      <c r="AJ56" s="32">
        <f t="shared" si="19"/>
        <v>0</v>
      </c>
      <c r="AK56" s="32"/>
      <c r="AL56" s="32"/>
      <c r="AM56" s="33">
        <f t="shared" si="20"/>
        <v>0</v>
      </c>
      <c r="AN56" s="637"/>
      <c r="AO56" s="638"/>
      <c r="AP56" s="639"/>
      <c r="AQ56" s="640"/>
      <c r="AR56" s="37"/>
      <c r="AS56" s="38"/>
      <c r="AT56" s="59"/>
      <c r="AU56" s="59"/>
      <c r="AV56" s="60"/>
      <c r="AW56" s="60"/>
      <c r="AX56" s="61"/>
      <c r="AY56" s="62"/>
      <c r="AZ56" s="59"/>
      <c r="BA56" s="59"/>
      <c r="BB56" s="59"/>
      <c r="BC56" s="59"/>
      <c r="BD56" s="59"/>
      <c r="BE56" s="59"/>
      <c r="BF56" s="59"/>
      <c r="BG56" s="59"/>
      <c r="BH56" s="59"/>
      <c r="BI56" s="43"/>
      <c r="BJ56" s="63"/>
      <c r="BK56" s="64"/>
      <c r="BL56" s="64"/>
      <c r="BM56" s="64"/>
      <c r="BN56" s="64"/>
      <c r="BO56" s="60"/>
    </row>
    <row r="57" spans="1:67" s="47" customFormat="1" ht="19.149999999999999" customHeight="1">
      <c r="A57" s="631"/>
      <c r="B57" s="632"/>
      <c r="C57" s="633"/>
      <c r="D57" s="633"/>
      <c r="E57" s="633"/>
      <c r="F57" s="633"/>
      <c r="G57" s="633"/>
      <c r="H57" s="633"/>
      <c r="I57" s="634"/>
      <c r="J57" s="634"/>
      <c r="K57" s="635"/>
      <c r="L57" s="635"/>
      <c r="M57" s="635"/>
      <c r="N57" s="635"/>
      <c r="O57" s="635"/>
      <c r="P57" s="635"/>
      <c r="Q57" s="635"/>
      <c r="R57" s="635"/>
      <c r="S57" s="635"/>
      <c r="T57" s="635"/>
      <c r="U57" s="635"/>
      <c r="V57" s="635"/>
      <c r="W57" s="55"/>
      <c r="X57" s="31"/>
      <c r="Y57" s="31"/>
      <c r="Z57" s="635"/>
      <c r="AA57" s="635"/>
      <c r="AB57" s="635"/>
      <c r="AC57" s="635"/>
      <c r="AD57" s="635"/>
      <c r="AE57" s="635"/>
      <c r="AF57" s="635"/>
      <c r="AG57" s="635"/>
      <c r="AH57" s="635"/>
      <c r="AI57" s="635"/>
      <c r="AJ57" s="635"/>
      <c r="AK57" s="636"/>
      <c r="AL57" s="636"/>
      <c r="AM57" s="33"/>
      <c r="AN57" s="637"/>
      <c r="AO57" s="638"/>
      <c r="AP57" s="639"/>
      <c r="AQ57" s="640"/>
      <c r="AR57" s="37"/>
      <c r="AS57" s="38"/>
      <c r="AT57" s="59"/>
      <c r="AU57" s="59"/>
      <c r="AV57" s="60"/>
      <c r="AW57" s="60"/>
      <c r="AX57" s="61"/>
      <c r="AY57" s="62"/>
      <c r="AZ57" s="59"/>
      <c r="BA57" s="59"/>
      <c r="BB57" s="59"/>
      <c r="BC57" s="59"/>
      <c r="BD57" s="59"/>
      <c r="BE57" s="59"/>
      <c r="BF57" s="59"/>
      <c r="BG57" s="59"/>
      <c r="BH57" s="59"/>
      <c r="BI57" s="43"/>
      <c r="BJ57" s="63"/>
      <c r="BK57" s="64"/>
      <c r="BL57" s="64"/>
      <c r="BM57" s="64"/>
      <c r="BN57" s="64"/>
      <c r="BO57" s="60"/>
    </row>
    <row r="58" spans="1:67" s="47" customFormat="1" ht="19.149999999999999" customHeight="1">
      <c r="A58" s="631"/>
      <c r="B58" s="632"/>
      <c r="C58" s="633"/>
      <c r="D58" s="633"/>
      <c r="E58" s="633"/>
      <c r="F58" s="633"/>
      <c r="G58" s="633"/>
      <c r="H58" s="633"/>
      <c r="I58" s="634"/>
      <c r="J58" s="634"/>
      <c r="K58" s="635"/>
      <c r="L58" s="635"/>
      <c r="M58" s="635"/>
      <c r="N58" s="635"/>
      <c r="O58" s="635"/>
      <c r="P58" s="635"/>
      <c r="Q58" s="635"/>
      <c r="R58" s="635"/>
      <c r="S58" s="635"/>
      <c r="T58" s="635"/>
      <c r="U58" s="635"/>
      <c r="V58" s="635"/>
      <c r="W58" s="55"/>
      <c r="X58" s="31"/>
      <c r="Y58" s="31"/>
      <c r="Z58" s="635"/>
      <c r="AA58" s="635"/>
      <c r="AB58" s="635"/>
      <c r="AC58" s="635"/>
      <c r="AD58" s="635"/>
      <c r="AE58" s="635"/>
      <c r="AF58" s="635"/>
      <c r="AG58" s="635"/>
      <c r="AH58" s="635"/>
      <c r="AI58" s="635"/>
      <c r="AJ58" s="635"/>
      <c r="AK58" s="636"/>
      <c r="AL58" s="636"/>
      <c r="AM58" s="33"/>
      <c r="AN58" s="637"/>
      <c r="AO58" s="638"/>
      <c r="AP58" s="639"/>
      <c r="AQ58" s="640"/>
      <c r="AR58" s="37"/>
      <c r="AS58" s="38"/>
      <c r="AT58" s="59"/>
      <c r="AU58" s="59"/>
      <c r="AV58" s="60"/>
      <c r="AW58" s="60"/>
      <c r="AX58" s="61"/>
      <c r="AY58" s="62"/>
      <c r="AZ58" s="59"/>
      <c r="BA58" s="59"/>
      <c r="BB58" s="59"/>
      <c r="BC58" s="59"/>
      <c r="BD58" s="59"/>
      <c r="BE58" s="59"/>
      <c r="BF58" s="59"/>
      <c r="BG58" s="59"/>
      <c r="BH58" s="59"/>
      <c r="BI58" s="43"/>
      <c r="BJ58" s="63"/>
      <c r="BK58" s="64"/>
      <c r="BL58" s="64"/>
      <c r="BM58" s="64"/>
      <c r="BN58" s="64"/>
      <c r="BO58" s="60"/>
    </row>
    <row r="59" spans="1:67" s="47" customFormat="1" ht="18.75" customHeight="1">
      <c r="A59" s="631"/>
      <c r="B59" s="632"/>
      <c r="C59" s="633"/>
      <c r="D59" s="633"/>
      <c r="E59" s="633"/>
      <c r="F59" s="633"/>
      <c r="G59" s="633"/>
      <c r="H59" s="633"/>
      <c r="I59" s="634"/>
      <c r="J59" s="634"/>
      <c r="K59" s="635"/>
      <c r="L59" s="635"/>
      <c r="M59" s="635"/>
      <c r="N59" s="635"/>
      <c r="O59" s="635"/>
      <c r="P59" s="635"/>
      <c r="Q59" s="635"/>
      <c r="R59" s="635"/>
      <c r="S59" s="635"/>
      <c r="T59" s="635"/>
      <c r="U59" s="635"/>
      <c r="V59" s="635"/>
      <c r="W59" s="55"/>
      <c r="X59" s="31"/>
      <c r="Y59" s="31"/>
      <c r="Z59" s="635"/>
      <c r="AA59" s="635"/>
      <c r="AB59" s="635"/>
      <c r="AC59" s="635"/>
      <c r="AD59" s="635"/>
      <c r="AE59" s="635"/>
      <c r="AF59" s="635"/>
      <c r="AG59" s="635"/>
      <c r="AH59" s="635"/>
      <c r="AI59" s="635"/>
      <c r="AJ59" s="635"/>
      <c r="AK59" s="636"/>
      <c r="AL59" s="636"/>
      <c r="AM59" s="33"/>
      <c r="AN59" s="637"/>
      <c r="AO59" s="638"/>
      <c r="AP59" s="639"/>
      <c r="AQ59" s="640"/>
      <c r="AR59" s="37"/>
      <c r="AS59" s="38"/>
      <c r="AT59" s="59"/>
      <c r="AU59" s="59"/>
      <c r="AV59" s="60"/>
      <c r="AW59" s="60"/>
      <c r="AX59" s="61"/>
      <c r="AY59" s="62"/>
      <c r="AZ59" s="59"/>
      <c r="BA59" s="59"/>
      <c r="BB59" s="59"/>
      <c r="BC59" s="59"/>
      <c r="BD59" s="59"/>
      <c r="BE59" s="59"/>
      <c r="BF59" s="59"/>
      <c r="BG59" s="59"/>
      <c r="BH59" s="59"/>
      <c r="BI59" s="43"/>
      <c r="BJ59" s="63"/>
      <c r="BK59" s="64"/>
      <c r="BL59" s="64"/>
      <c r="BM59" s="64"/>
      <c r="BN59" s="64"/>
      <c r="BO59" s="60"/>
    </row>
    <row r="60" spans="1:67" s="47" customFormat="1" ht="19.149999999999999" customHeight="1">
      <c r="A60" s="631"/>
      <c r="B60" s="632"/>
      <c r="C60" s="633"/>
      <c r="D60" s="633"/>
      <c r="E60" s="633"/>
      <c r="F60" s="633"/>
      <c r="G60" s="633"/>
      <c r="H60" s="633"/>
      <c r="I60" s="634"/>
      <c r="J60" s="634"/>
      <c r="K60" s="635"/>
      <c r="L60" s="635"/>
      <c r="M60" s="635"/>
      <c r="N60" s="635"/>
      <c r="O60" s="635"/>
      <c r="P60" s="635"/>
      <c r="Q60" s="635"/>
      <c r="R60" s="635"/>
      <c r="S60" s="635"/>
      <c r="T60" s="635"/>
      <c r="U60" s="635"/>
      <c r="V60" s="635"/>
      <c r="W60" s="55"/>
      <c r="X60" s="31"/>
      <c r="Y60" s="31"/>
      <c r="Z60" s="635"/>
      <c r="AA60" s="635"/>
      <c r="AB60" s="635"/>
      <c r="AC60" s="635"/>
      <c r="AD60" s="635"/>
      <c r="AE60" s="635"/>
      <c r="AF60" s="635"/>
      <c r="AG60" s="635"/>
      <c r="AH60" s="635"/>
      <c r="AI60" s="635"/>
      <c r="AJ60" s="635"/>
      <c r="AK60" s="636"/>
      <c r="AL60" s="636"/>
      <c r="AM60" s="33"/>
      <c r="AN60" s="637"/>
      <c r="AO60" s="638"/>
      <c r="AP60" s="639"/>
      <c r="AQ60" s="640"/>
      <c r="AR60" s="37"/>
      <c r="AS60" s="38"/>
      <c r="AT60" s="59"/>
      <c r="AU60" s="59"/>
      <c r="AV60" s="60"/>
      <c r="AW60" s="60"/>
      <c r="AX60" s="61"/>
      <c r="AY60" s="62"/>
      <c r="AZ60" s="59"/>
      <c r="BA60" s="59"/>
      <c r="BB60" s="59"/>
      <c r="BC60" s="59"/>
      <c r="BD60" s="59"/>
      <c r="BE60" s="59"/>
      <c r="BF60" s="59"/>
      <c r="BG60" s="59"/>
      <c r="BH60" s="59"/>
      <c r="BI60" s="43"/>
      <c r="BJ60" s="63"/>
      <c r="BK60" s="64"/>
      <c r="BL60" s="64"/>
      <c r="BM60" s="64"/>
      <c r="BN60" s="64"/>
      <c r="BO60" s="60"/>
    </row>
    <row r="61" spans="1:67" s="47" customFormat="1" ht="19.149999999999999" customHeight="1" thickBot="1">
      <c r="A61" s="68"/>
      <c r="B61" s="649" t="s">
        <v>53</v>
      </c>
      <c r="C61" s="650"/>
      <c r="D61" s="650"/>
      <c r="E61" s="650"/>
      <c r="F61" s="650"/>
      <c r="G61" s="650"/>
      <c r="H61" s="650"/>
      <c r="I61" s="650"/>
      <c r="J61" s="488"/>
      <c r="K61" s="69"/>
      <c r="L61" s="69">
        <f>L12+L33+L43</f>
        <v>0</v>
      </c>
      <c r="M61" s="69"/>
      <c r="N61" s="69"/>
      <c r="O61" s="69"/>
      <c r="P61" s="69"/>
      <c r="Q61" s="69"/>
      <c r="R61" s="69"/>
      <c r="S61" s="70">
        <f>S12+S33+S43</f>
        <v>0</v>
      </c>
      <c r="T61" s="69">
        <f>T12+T33+T43</f>
        <v>0</v>
      </c>
      <c r="U61" s="69">
        <f>U12+U33+U43</f>
        <v>0</v>
      </c>
      <c r="V61" s="70">
        <f>V12+V33+V43</f>
        <v>0</v>
      </c>
      <c r="W61" s="69">
        <f>W12+W33+W43</f>
        <v>0</v>
      </c>
      <c r="X61" s="69"/>
      <c r="Y61" s="69">
        <f>Y12+Y33+Y43</f>
        <v>0</v>
      </c>
      <c r="Z61" s="69">
        <f>Z12+Z33+Z43</f>
        <v>0</v>
      </c>
      <c r="AA61" s="69">
        <f>AA12+AA33+AA43</f>
        <v>0</v>
      </c>
      <c r="AB61" s="69">
        <f>AB12+AB33+AB43</f>
        <v>0</v>
      </c>
      <c r="AC61" s="69">
        <f>AC12+AC33+AC43</f>
        <v>0</v>
      </c>
      <c r="AD61" s="69"/>
      <c r="AE61" s="69"/>
      <c r="AF61" s="69"/>
      <c r="AG61" s="69"/>
      <c r="AH61" s="69"/>
      <c r="AI61" s="69">
        <f>AI12+AI33+AI43</f>
        <v>0</v>
      </c>
      <c r="AJ61" s="69">
        <f>AJ12+AJ33+AJ43</f>
        <v>0</v>
      </c>
      <c r="AK61" s="69">
        <f>AK12+AK33+AK43</f>
        <v>0</v>
      </c>
      <c r="AL61" s="69">
        <f>AL12+AL33+AL43</f>
        <v>0</v>
      </c>
      <c r="AM61" s="33">
        <f t="shared" ref="AM23:AM62" si="21">X61-Z61-AA61-AB61-AC61-AJ61-AK61-AL61</f>
        <v>0</v>
      </c>
      <c r="AN61" s="71"/>
      <c r="AO61" s="69"/>
      <c r="AP61" s="72"/>
      <c r="AQ61" s="73"/>
      <c r="AR61" s="74"/>
      <c r="AS61" s="75"/>
      <c r="AT61" s="76"/>
      <c r="AU61" s="76"/>
      <c r="AV61" s="76">
        <f>SUM(AV3:AV43)</f>
        <v>0</v>
      </c>
      <c r="AW61" s="76">
        <f>SUM(AW3:AW43)</f>
        <v>0</v>
      </c>
      <c r="AX61" s="76"/>
      <c r="AY61" s="76">
        <f t="shared" ref="AY61:BH61" si="22">SUM(AY3:AY43)</f>
        <v>0</v>
      </c>
      <c r="AZ61" s="77">
        <f t="shared" si="22"/>
        <v>0</v>
      </c>
      <c r="BA61" s="77">
        <f t="shared" si="22"/>
        <v>0</v>
      </c>
      <c r="BB61" s="77">
        <f t="shared" si="22"/>
        <v>0</v>
      </c>
      <c r="BC61" s="77">
        <f t="shared" si="22"/>
        <v>0</v>
      </c>
      <c r="BD61" s="77">
        <f t="shared" si="22"/>
        <v>0</v>
      </c>
      <c r="BE61" s="77">
        <f t="shared" si="22"/>
        <v>0</v>
      </c>
      <c r="BF61" s="77">
        <f t="shared" si="22"/>
        <v>0</v>
      </c>
      <c r="BG61" s="77">
        <f t="shared" si="22"/>
        <v>0</v>
      </c>
      <c r="BH61" s="77">
        <f t="shared" si="22"/>
        <v>0</v>
      </c>
      <c r="BI61" s="78"/>
      <c r="BJ61" s="63"/>
      <c r="BK61" s="64"/>
      <c r="BL61" s="64"/>
      <c r="BM61" s="64"/>
      <c r="BN61" s="64"/>
      <c r="BO61" s="60">
        <f>VLOOKUP(AW43,$BL$3:$BL$9,1)</f>
        <v>0</v>
      </c>
    </row>
    <row r="62" spans="1:67">
      <c r="S62" s="84"/>
      <c r="T62" s="84"/>
      <c r="AJ62" s="82"/>
      <c r="AM62" s="33">
        <f t="shared" si="21"/>
        <v>0</v>
      </c>
      <c r="BJ62" s="79"/>
      <c r="BK62" s="79"/>
      <c r="BL62" s="79"/>
      <c r="BM62" s="79"/>
      <c r="BN62" s="79"/>
      <c r="BO62" s="76"/>
    </row>
    <row r="63" spans="1:67" ht="20">
      <c r="AJ63" s="82"/>
      <c r="AZ63" s="85" t="str">
        <f>AS1&amp;"个人所得税申报资料"</f>
        <v>2017年9月份个人所得税申报资料</v>
      </c>
      <c r="BA63" s="86"/>
      <c r="BB63" s="86"/>
      <c r="BC63" s="86"/>
      <c r="BD63" s="86"/>
      <c r="BE63" s="86"/>
      <c r="BF63" s="86"/>
      <c r="BG63" s="86"/>
      <c r="BH63" s="86"/>
      <c r="BJ63" s="83"/>
    </row>
    <row r="64" spans="1:67" ht="20">
      <c r="AJ64" s="82"/>
      <c r="AZ64" s="85"/>
      <c r="BA64" s="86"/>
      <c r="BB64" s="86"/>
      <c r="BC64" s="86"/>
      <c r="BD64" s="86"/>
      <c r="BE64" s="86"/>
      <c r="BF64" s="86"/>
      <c r="BG64" s="86"/>
      <c r="BH64" s="86"/>
      <c r="BJ64" s="83"/>
    </row>
    <row r="65" spans="36:62" ht="16.5" customHeight="1">
      <c r="AJ65" s="82"/>
      <c r="AY65" s="87" t="s">
        <v>54</v>
      </c>
      <c r="AZ65" s="88" t="s">
        <v>33</v>
      </c>
      <c r="BA65" s="89" t="s">
        <v>34</v>
      </c>
      <c r="BB65" s="89" t="s">
        <v>35</v>
      </c>
      <c r="BC65" s="89" t="s">
        <v>36</v>
      </c>
      <c r="BD65" s="89" t="s">
        <v>37</v>
      </c>
      <c r="BE65" s="89" t="s">
        <v>38</v>
      </c>
      <c r="BF65" s="89" t="s">
        <v>39</v>
      </c>
      <c r="BG65" s="89" t="s">
        <v>40</v>
      </c>
      <c r="BH65" s="90" t="s">
        <v>41</v>
      </c>
      <c r="BJ65" s="83"/>
    </row>
    <row r="66" spans="36:62" ht="3" customHeight="1">
      <c r="AJ66" s="1"/>
      <c r="AZ66" s="91"/>
      <c r="BA66" s="91"/>
      <c r="BB66" s="91"/>
      <c r="BC66" s="91"/>
      <c r="BD66" s="91"/>
      <c r="BE66" s="91"/>
      <c r="BF66" s="91"/>
      <c r="BG66" s="91"/>
      <c r="BH66" s="91"/>
      <c r="BJ66" s="83"/>
    </row>
    <row r="67" spans="36:62" ht="16.5" customHeight="1">
      <c r="AJ67" s="82"/>
      <c r="AY67" s="87" t="s">
        <v>55</v>
      </c>
      <c r="AZ67" s="92">
        <f t="shared" ref="AZ67:BH67" si="23">SUM(AZ3:AZ43)</f>
        <v>0</v>
      </c>
      <c r="BA67" s="93">
        <f t="shared" si="23"/>
        <v>0</v>
      </c>
      <c r="BB67" s="93">
        <f t="shared" si="23"/>
        <v>0</v>
      </c>
      <c r="BC67" s="93">
        <f t="shared" si="23"/>
        <v>0</v>
      </c>
      <c r="BD67" s="93">
        <f t="shared" si="23"/>
        <v>0</v>
      </c>
      <c r="BE67" s="93">
        <f t="shared" si="23"/>
        <v>0</v>
      </c>
      <c r="BF67" s="93">
        <f t="shared" si="23"/>
        <v>0</v>
      </c>
      <c r="BG67" s="93">
        <f t="shared" si="23"/>
        <v>0</v>
      </c>
      <c r="BH67" s="94">
        <f t="shared" si="23"/>
        <v>0</v>
      </c>
      <c r="BJ67" s="83"/>
    </row>
    <row r="68" spans="36:62" ht="4.5" customHeight="1">
      <c r="AJ68" s="1"/>
      <c r="AZ68" s="95"/>
      <c r="BA68" s="96"/>
      <c r="BB68" s="96"/>
      <c r="BC68" s="96"/>
      <c r="BD68" s="96"/>
      <c r="BE68" s="96"/>
      <c r="BF68" s="96"/>
      <c r="BG68" s="96"/>
      <c r="BH68" s="97"/>
      <c r="BJ68" s="83"/>
    </row>
    <row r="69" spans="36:62" ht="16.5" customHeight="1">
      <c r="AJ69" s="82"/>
      <c r="AY69" s="87" t="s">
        <v>56</v>
      </c>
      <c r="AZ69" s="98">
        <f>COUNTIF(AZ3:AZ43,"&gt;0")</f>
        <v>0</v>
      </c>
      <c r="BA69" s="99">
        <f t="shared" ref="BA69:BH69" si="24">COUNTIF(BA3:BA43,"&gt;0")</f>
        <v>0</v>
      </c>
      <c r="BB69" s="99">
        <f t="shared" si="24"/>
        <v>0</v>
      </c>
      <c r="BC69" s="99">
        <f t="shared" si="24"/>
        <v>0</v>
      </c>
      <c r="BD69" s="99">
        <f t="shared" si="24"/>
        <v>0</v>
      </c>
      <c r="BE69" s="99">
        <f t="shared" si="24"/>
        <v>0</v>
      </c>
      <c r="BF69" s="99">
        <f t="shared" si="24"/>
        <v>0</v>
      </c>
      <c r="BG69" s="99">
        <f t="shared" si="24"/>
        <v>0</v>
      </c>
      <c r="BH69" s="100">
        <f t="shared" si="24"/>
        <v>0</v>
      </c>
      <c r="BJ69" s="83"/>
    </row>
    <row r="70" spans="36:62" ht="4.5" customHeight="1" thickBot="1">
      <c r="AJ70" s="1"/>
      <c r="AZ70" s="101"/>
      <c r="BA70" s="101"/>
      <c r="BB70" s="101"/>
      <c r="BC70" s="101"/>
      <c r="BD70" s="101"/>
      <c r="BE70" s="101"/>
      <c r="BF70" s="101"/>
      <c r="BG70" s="101"/>
      <c r="BH70" s="101"/>
      <c r="BJ70" s="83"/>
    </row>
    <row r="71" spans="36:62" ht="16.5" customHeight="1" thickBot="1">
      <c r="AJ71" s="82"/>
      <c r="AY71" s="87" t="s">
        <v>57</v>
      </c>
      <c r="AZ71" s="102">
        <f>SUMIF($AX$3:$AX$43,"0.05",$AW$3:$AW$43)</f>
        <v>0</v>
      </c>
      <c r="BA71" s="102">
        <f>SUMIF($AX$3:$AX$43,"0.1",$AW$3:$AW$43)</f>
        <v>0</v>
      </c>
      <c r="BB71" s="102">
        <f>SUMIF($AX$3:$AX$43,"0.15",$AW$3:$AW$43)</f>
        <v>0</v>
      </c>
      <c r="BC71" s="102">
        <f>SUMIF($AX$3:$AX$43,"0.20",$AW$3:$AW$43)</f>
        <v>0</v>
      </c>
      <c r="BD71" s="102">
        <f>SUMIF($AX$3:$AX$43,"0.25",$AW$3:$AW$43)</f>
        <v>0</v>
      </c>
      <c r="BE71" s="102">
        <f>SUMIF($AX$3:$AX$43,"0.30",$AW$3:$AW$43)</f>
        <v>0</v>
      </c>
      <c r="BF71" s="102">
        <f>SUMIF($AX$3:$AX$43,"0.35",$AW$3:$AW$43)</f>
        <v>0</v>
      </c>
      <c r="BG71" s="102">
        <f>SUMIF($AX$3:$AX$43,"0.40",$AW$3:$AW$43)</f>
        <v>0</v>
      </c>
      <c r="BH71" s="103">
        <f>SUMIF($AX$3:$AX$43,"0.45",$AW$3:$AW$43)</f>
        <v>0</v>
      </c>
      <c r="BI71" s="104"/>
      <c r="BJ71" s="83"/>
    </row>
    <row r="72" spans="36:62" ht="4.5" customHeight="1">
      <c r="AJ72" s="82"/>
      <c r="AZ72" s="105"/>
      <c r="BA72" s="105"/>
      <c r="BB72" s="105"/>
      <c r="BC72" s="105"/>
      <c r="BD72" s="105"/>
      <c r="BE72" s="105"/>
      <c r="BF72" s="105"/>
      <c r="BG72" s="105"/>
      <c r="BH72" s="105"/>
      <c r="BJ72" s="83"/>
    </row>
    <row r="73" spans="36:62" ht="15.5">
      <c r="AJ73" s="82"/>
      <c r="AY73" s="87" t="s">
        <v>58</v>
      </c>
      <c r="AZ73" s="106">
        <f>SUM(AZ61:BH61)</f>
        <v>0</v>
      </c>
      <c r="BA73" s="107"/>
      <c r="BB73" s="107"/>
      <c r="BC73" s="107"/>
      <c r="BD73" s="107"/>
      <c r="BE73" s="107"/>
      <c r="BF73" s="107"/>
      <c r="BG73" s="107"/>
      <c r="BH73" s="107"/>
      <c r="BJ73" s="83"/>
    </row>
    <row r="74" spans="36:62" ht="4.5" customHeight="1">
      <c r="AZ74" s="108"/>
      <c r="BA74" s="108"/>
      <c r="BB74" s="108"/>
      <c r="BC74" s="108"/>
      <c r="BD74" s="108"/>
      <c r="BE74" s="108"/>
      <c r="BF74" s="108"/>
      <c r="BG74" s="108"/>
      <c r="BH74" s="108"/>
      <c r="BJ74" s="83"/>
    </row>
    <row r="75" spans="36:62" ht="15.5">
      <c r="AY75" s="87" t="s">
        <v>59</v>
      </c>
      <c r="AZ75" s="651" t="str">
        <f>IF(AZ73-AJ61=0,"完全正确!",IF(AZ73-AJ61&gt;0,"纳税表比工资表多","纳税表比工资表少"))</f>
        <v>完全正确!</v>
      </c>
      <c r="BA75" s="651"/>
      <c r="BB75" s="651"/>
      <c r="BC75" s="86"/>
      <c r="BD75" s="86"/>
      <c r="BE75" s="86"/>
      <c r="BF75" s="86"/>
      <c r="BG75" s="86"/>
      <c r="BH75" s="86"/>
      <c r="BJ75" s="83"/>
    </row>
    <row r="76" spans="36:62">
      <c r="AZ76" s="652"/>
      <c r="BA76" s="652"/>
      <c r="BB76" s="652"/>
      <c r="BC76" s="86"/>
      <c r="BD76" s="86"/>
      <c r="BE76" s="86"/>
      <c r="BF76" s="86"/>
      <c r="BG76" s="86"/>
      <c r="BH76" s="86"/>
    </row>
  </sheetData>
  <autoFilter ref="W1:W76"/>
  <mergeCells count="2">
    <mergeCell ref="B61:I61"/>
    <mergeCell ref="AZ75:BB76"/>
  </mergeCells>
  <phoneticPr fontId="3" type="noConversion"/>
  <dataValidations count="2">
    <dataValidation type="list" allowBlank="1" showInputMessage="1" showErrorMessage="1" sqref="A3:A8">
      <formula1>"全职, 兼职"</formula1>
    </dataValidation>
    <dataValidation type="list" allowBlank="1" showInputMessage="1" showErrorMessage="1" sqref="J3:J54">
      <formula1>"上海市--城镇户口、本地农户,上海市--外来农户,"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8"/>
  <sheetViews>
    <sheetView topLeftCell="A4" workbookViewId="0">
      <selection activeCell="A2" sqref="A2"/>
    </sheetView>
  </sheetViews>
  <sheetFormatPr defaultColWidth="8" defaultRowHeight="13"/>
  <cols>
    <col min="1" max="1" width="4.75" style="111" customWidth="1"/>
    <col min="2" max="2" width="8" style="111"/>
    <col min="3" max="3" width="5.58203125" style="111" bestFit="1" customWidth="1"/>
    <col min="4" max="34" width="4" style="111" customWidth="1"/>
    <col min="35" max="35" width="6.25" style="182" customWidth="1"/>
    <col min="36" max="42" width="5.25" style="182" customWidth="1"/>
    <col min="43" max="43" width="5" style="182" bestFit="1" customWidth="1"/>
    <col min="44" max="44" width="8" style="182"/>
    <col min="45" max="45" width="12.08203125" style="111" bestFit="1" customWidth="1"/>
    <col min="46" max="16384" width="8" style="111"/>
  </cols>
  <sheetData>
    <row r="1" spans="1:53" ht="6.75" customHeight="1">
      <c r="A1" s="109"/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09"/>
      <c r="AT1" s="109"/>
    </row>
    <row r="2" spans="1:53" ht="23">
      <c r="A2" s="112" t="str">
        <f>"开发有限公司"&amp;MONTH(D6)&amp;"月份考勤明细表"</f>
        <v>开发有限公司4月份考勤明细表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4" t="str">
        <f>YEAR(D6)&amp;" 年 " &amp; MONTH( D6)&amp;" 月 份 出 勤 统 计"</f>
        <v>2007 年 4 月 份 出 勤 统 计</v>
      </c>
      <c r="AJ2" s="114"/>
      <c r="AK2" s="114"/>
      <c r="AL2" s="114"/>
      <c r="AM2" s="114"/>
      <c r="AN2" s="114"/>
      <c r="AO2" s="114"/>
      <c r="AP2" s="114"/>
      <c r="AQ2" s="114"/>
      <c r="AR2" s="114"/>
      <c r="AS2" s="115"/>
      <c r="AT2" s="109"/>
    </row>
    <row r="3" spans="1:53" ht="5.25" customHeight="1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09"/>
      <c r="AT3" s="109"/>
    </row>
    <row r="4" spans="1:53" ht="15" customHeight="1">
      <c r="A4" s="116" t="s">
        <v>60</v>
      </c>
      <c r="B4" s="109"/>
      <c r="C4" s="109"/>
      <c r="D4" s="687">
        <f ca="1">TODAY()</f>
        <v>43635</v>
      </c>
      <c r="E4" s="687"/>
      <c r="F4" s="687"/>
      <c r="G4" s="687"/>
      <c r="H4" s="687"/>
      <c r="I4" s="687"/>
      <c r="J4" s="687"/>
      <c r="K4" s="117" t="str">
        <f ca="1">CHOOSE(WEEKDAY(D4,2),"星期 一","星期 二","星期 三","星期 四","星期 五","星期 六","星期 日")</f>
        <v>星期 三</v>
      </c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18" t="s">
        <v>61</v>
      </c>
      <c r="AJ4" s="110"/>
      <c r="AK4" s="119">
        <v>22</v>
      </c>
      <c r="AL4" s="120" t="s">
        <v>62</v>
      </c>
      <c r="AM4" s="110"/>
      <c r="AN4" s="110"/>
      <c r="AO4" s="110"/>
      <c r="AP4" s="110"/>
      <c r="AQ4" s="110"/>
      <c r="AR4" s="110"/>
      <c r="AS4" s="109"/>
      <c r="AT4" s="109"/>
    </row>
    <row r="5" spans="1:53" ht="4.5" customHeight="1" thickBot="1">
      <c r="A5" s="109"/>
      <c r="B5" s="109"/>
      <c r="C5" s="109"/>
      <c r="D5" s="116"/>
      <c r="E5" s="109"/>
      <c r="F5" s="109"/>
      <c r="G5" s="121"/>
      <c r="H5" s="121"/>
      <c r="I5" s="121"/>
      <c r="J5" s="121"/>
      <c r="K5" s="121"/>
      <c r="L5" s="121"/>
      <c r="M5" s="121"/>
      <c r="N5" s="122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09"/>
      <c r="AT5" s="109"/>
    </row>
    <row r="6" spans="1:53" ht="12" customHeight="1">
      <c r="A6" s="688" t="s">
        <v>63</v>
      </c>
      <c r="B6" s="689" t="s">
        <v>64</v>
      </c>
      <c r="C6" s="690" t="s">
        <v>65</v>
      </c>
      <c r="D6" s="123">
        <v>39173</v>
      </c>
      <c r="E6" s="123">
        <f>D6+1</f>
        <v>39174</v>
      </c>
      <c r="F6" s="123">
        <f t="shared" ref="F6:AH6" si="0">E6+1</f>
        <v>39175</v>
      </c>
      <c r="G6" s="123">
        <f t="shared" si="0"/>
        <v>39176</v>
      </c>
      <c r="H6" s="123">
        <f t="shared" si="0"/>
        <v>39177</v>
      </c>
      <c r="I6" s="123">
        <f t="shared" si="0"/>
        <v>39178</v>
      </c>
      <c r="J6" s="123">
        <f t="shared" si="0"/>
        <v>39179</v>
      </c>
      <c r="K6" s="123">
        <f t="shared" si="0"/>
        <v>39180</v>
      </c>
      <c r="L6" s="123">
        <f t="shared" si="0"/>
        <v>39181</v>
      </c>
      <c r="M6" s="123">
        <f t="shared" si="0"/>
        <v>39182</v>
      </c>
      <c r="N6" s="123">
        <f t="shared" si="0"/>
        <v>39183</v>
      </c>
      <c r="O6" s="123">
        <f t="shared" si="0"/>
        <v>39184</v>
      </c>
      <c r="P6" s="123">
        <f t="shared" si="0"/>
        <v>39185</v>
      </c>
      <c r="Q6" s="123">
        <f t="shared" si="0"/>
        <v>39186</v>
      </c>
      <c r="R6" s="123">
        <f t="shared" si="0"/>
        <v>39187</v>
      </c>
      <c r="S6" s="123">
        <f t="shared" si="0"/>
        <v>39188</v>
      </c>
      <c r="T6" s="123">
        <f t="shared" si="0"/>
        <v>39189</v>
      </c>
      <c r="U6" s="123">
        <f t="shared" si="0"/>
        <v>39190</v>
      </c>
      <c r="V6" s="123">
        <f t="shared" si="0"/>
        <v>39191</v>
      </c>
      <c r="W6" s="123">
        <f t="shared" si="0"/>
        <v>39192</v>
      </c>
      <c r="X6" s="123">
        <f t="shared" si="0"/>
        <v>39193</v>
      </c>
      <c r="Y6" s="123">
        <f t="shared" si="0"/>
        <v>39194</v>
      </c>
      <c r="Z6" s="123">
        <f t="shared" si="0"/>
        <v>39195</v>
      </c>
      <c r="AA6" s="123">
        <f t="shared" si="0"/>
        <v>39196</v>
      </c>
      <c r="AB6" s="123">
        <f t="shared" si="0"/>
        <v>39197</v>
      </c>
      <c r="AC6" s="123">
        <f t="shared" si="0"/>
        <v>39198</v>
      </c>
      <c r="AD6" s="123">
        <f t="shared" si="0"/>
        <v>39199</v>
      </c>
      <c r="AE6" s="123">
        <f t="shared" si="0"/>
        <v>39200</v>
      </c>
      <c r="AF6" s="123">
        <f t="shared" si="0"/>
        <v>39201</v>
      </c>
      <c r="AG6" s="123">
        <f t="shared" si="0"/>
        <v>39202</v>
      </c>
      <c r="AH6" s="123">
        <f t="shared" si="0"/>
        <v>39203</v>
      </c>
      <c r="AI6" s="691" t="s">
        <v>66</v>
      </c>
      <c r="AJ6" s="676" t="s">
        <v>67</v>
      </c>
      <c r="AK6" s="676" t="s">
        <v>68</v>
      </c>
      <c r="AL6" s="676" t="s">
        <v>69</v>
      </c>
      <c r="AM6" s="676" t="s">
        <v>70</v>
      </c>
      <c r="AN6" s="676" t="s">
        <v>71</v>
      </c>
      <c r="AO6" s="676" t="s">
        <v>72</v>
      </c>
      <c r="AP6" s="676" t="s">
        <v>73</v>
      </c>
      <c r="AQ6" s="678" t="s">
        <v>74</v>
      </c>
      <c r="AR6" s="680" t="s">
        <v>75</v>
      </c>
      <c r="AS6" s="109"/>
      <c r="AT6" s="109"/>
    </row>
    <row r="7" spans="1:53">
      <c r="A7" s="688"/>
      <c r="B7" s="689"/>
      <c r="C7" s="690"/>
      <c r="D7" s="124" t="str">
        <f>CHOOSE(WEEKDAY(D6,2),"一","二","三","四","五","六","日")</f>
        <v>日</v>
      </c>
      <c r="E7" s="124" t="str">
        <f t="shared" ref="E7:AH7" si="1">CHOOSE(WEEKDAY(E6,2),"一","二","三","四","五","六","日")</f>
        <v>一</v>
      </c>
      <c r="F7" s="124" t="str">
        <f t="shared" si="1"/>
        <v>二</v>
      </c>
      <c r="G7" s="124" t="str">
        <f t="shared" si="1"/>
        <v>三</v>
      </c>
      <c r="H7" s="124" t="str">
        <f t="shared" si="1"/>
        <v>四</v>
      </c>
      <c r="I7" s="124" t="str">
        <f t="shared" si="1"/>
        <v>五</v>
      </c>
      <c r="J7" s="124" t="str">
        <f t="shared" si="1"/>
        <v>六</v>
      </c>
      <c r="K7" s="124" t="str">
        <f t="shared" si="1"/>
        <v>日</v>
      </c>
      <c r="L7" s="124" t="str">
        <f t="shared" si="1"/>
        <v>一</v>
      </c>
      <c r="M7" s="124" t="str">
        <f t="shared" si="1"/>
        <v>二</v>
      </c>
      <c r="N7" s="124" t="str">
        <f t="shared" si="1"/>
        <v>三</v>
      </c>
      <c r="O7" s="124" t="str">
        <f t="shared" si="1"/>
        <v>四</v>
      </c>
      <c r="P7" s="124" t="str">
        <f t="shared" si="1"/>
        <v>五</v>
      </c>
      <c r="Q7" s="124" t="str">
        <f t="shared" si="1"/>
        <v>六</v>
      </c>
      <c r="R7" s="124" t="str">
        <f t="shared" si="1"/>
        <v>日</v>
      </c>
      <c r="S7" s="124" t="str">
        <f t="shared" si="1"/>
        <v>一</v>
      </c>
      <c r="T7" s="124" t="str">
        <f t="shared" si="1"/>
        <v>二</v>
      </c>
      <c r="U7" s="124" t="str">
        <f t="shared" si="1"/>
        <v>三</v>
      </c>
      <c r="V7" s="124" t="str">
        <f t="shared" si="1"/>
        <v>四</v>
      </c>
      <c r="W7" s="124" t="str">
        <f t="shared" si="1"/>
        <v>五</v>
      </c>
      <c r="X7" s="124" t="str">
        <f t="shared" si="1"/>
        <v>六</v>
      </c>
      <c r="Y7" s="124" t="str">
        <f t="shared" si="1"/>
        <v>日</v>
      </c>
      <c r="Z7" s="124" t="str">
        <f t="shared" si="1"/>
        <v>一</v>
      </c>
      <c r="AA7" s="124" t="str">
        <f t="shared" si="1"/>
        <v>二</v>
      </c>
      <c r="AB7" s="124" t="str">
        <f t="shared" si="1"/>
        <v>三</v>
      </c>
      <c r="AC7" s="124" t="str">
        <f t="shared" si="1"/>
        <v>四</v>
      </c>
      <c r="AD7" s="124" t="str">
        <f t="shared" si="1"/>
        <v>五</v>
      </c>
      <c r="AE7" s="124" t="str">
        <f t="shared" si="1"/>
        <v>六</v>
      </c>
      <c r="AF7" s="124" t="str">
        <f t="shared" si="1"/>
        <v>日</v>
      </c>
      <c r="AG7" s="124" t="str">
        <f t="shared" si="1"/>
        <v>一</v>
      </c>
      <c r="AH7" s="124" t="str">
        <f t="shared" si="1"/>
        <v>二</v>
      </c>
      <c r="AI7" s="692"/>
      <c r="AJ7" s="677"/>
      <c r="AK7" s="677"/>
      <c r="AL7" s="677"/>
      <c r="AM7" s="677"/>
      <c r="AN7" s="677"/>
      <c r="AO7" s="677"/>
      <c r="AP7" s="677"/>
      <c r="AQ7" s="679"/>
      <c r="AR7" s="681"/>
      <c r="AS7" s="109"/>
      <c r="AT7" s="109"/>
    </row>
    <row r="8" spans="1:53" ht="3" customHeight="1">
      <c r="A8" s="125"/>
      <c r="B8" s="125"/>
      <c r="C8" s="126"/>
      <c r="D8" s="125"/>
      <c r="E8" s="125"/>
      <c r="F8" s="127"/>
      <c r="G8" s="127"/>
      <c r="H8" s="128"/>
      <c r="I8" s="128"/>
      <c r="J8" s="128"/>
      <c r="K8" s="128"/>
      <c r="L8" s="128"/>
      <c r="M8" s="127"/>
      <c r="N8" s="127"/>
      <c r="O8" s="128"/>
      <c r="P8" s="128"/>
      <c r="Q8" s="128"/>
      <c r="R8" s="128"/>
      <c r="S8" s="128"/>
      <c r="T8" s="127"/>
      <c r="U8" s="127"/>
      <c r="V8" s="128"/>
      <c r="W8" s="128"/>
      <c r="X8" s="128"/>
      <c r="Y8" s="128"/>
      <c r="Z8" s="128"/>
      <c r="AA8" s="127"/>
      <c r="AB8" s="127"/>
      <c r="AC8" s="128"/>
      <c r="AD8" s="128"/>
      <c r="AE8" s="128"/>
      <c r="AF8" s="128"/>
      <c r="AG8" s="128"/>
      <c r="AH8" s="127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09"/>
      <c r="AT8" s="109"/>
    </row>
    <row r="9" spans="1:53" ht="14.65" customHeight="1">
      <c r="A9" s="682">
        <f>IF(B9="","",IF(B9&gt;0,A8+1))</f>
        <v>1</v>
      </c>
      <c r="B9" s="683" t="s">
        <v>48</v>
      </c>
      <c r="C9" s="130" t="s">
        <v>76</v>
      </c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2"/>
      <c r="V9" s="132"/>
      <c r="W9" s="131"/>
      <c r="X9" s="131"/>
      <c r="Y9" s="131"/>
      <c r="Z9" s="131"/>
      <c r="AA9" s="132"/>
      <c r="AB9" s="132"/>
      <c r="AC9" s="132"/>
      <c r="AD9" s="131"/>
      <c r="AE9" s="131"/>
      <c r="AF9" s="131"/>
      <c r="AG9" s="131"/>
      <c r="AH9" s="133"/>
      <c r="AI9" s="684">
        <f>COUNTIF($D9:$AH10,$AI$6)/2</f>
        <v>0</v>
      </c>
      <c r="AJ9" s="685">
        <f>COUNTIF($D9:$AH10,$AJ$6)/2</f>
        <v>0</v>
      </c>
      <c r="AK9" s="685">
        <f>COUNTIF($D9:$AH10,$AK$6)/2</f>
        <v>0</v>
      </c>
      <c r="AL9" s="685">
        <f>COUNTIF($D9:$AH10,$AL$6)/2</f>
        <v>0</v>
      </c>
      <c r="AM9" s="685">
        <f>COUNTIF($D9:$AH10,$AM$6)/2</f>
        <v>0</v>
      </c>
      <c r="AN9" s="685">
        <f>COUNTIF($D9:$AH10,$AN$6)/2</f>
        <v>0</v>
      </c>
      <c r="AO9" s="685">
        <f>COUNTIF($D9:$AH10,$AO$6)/2</f>
        <v>0</v>
      </c>
      <c r="AP9" s="685">
        <f>COUNTIF($D9:$AH10,$AP$6)/2</f>
        <v>0</v>
      </c>
      <c r="AQ9" s="685">
        <f>COUNTIF($D9:$AH10,$AQ$6)/2</f>
        <v>0</v>
      </c>
      <c r="AR9" s="686">
        <f>(AI9+AQ9)/$AK$4</f>
        <v>0</v>
      </c>
      <c r="AS9" s="109"/>
      <c r="AT9" s="109"/>
    </row>
    <row r="10" spans="1:53" ht="14.65" customHeight="1">
      <c r="A10" s="666"/>
      <c r="B10" s="668"/>
      <c r="C10" s="134" t="s">
        <v>78</v>
      </c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V10" s="136"/>
      <c r="W10" s="135"/>
      <c r="X10" s="135"/>
      <c r="Y10" s="135"/>
      <c r="Z10" s="135"/>
      <c r="AA10" s="136"/>
      <c r="AB10" s="136"/>
      <c r="AC10" s="136"/>
      <c r="AD10" s="135"/>
      <c r="AE10" s="135"/>
      <c r="AF10" s="135"/>
      <c r="AG10" s="135"/>
      <c r="AH10" s="137"/>
      <c r="AI10" s="672"/>
      <c r="AJ10" s="670"/>
      <c r="AK10" s="670"/>
      <c r="AL10" s="670"/>
      <c r="AM10" s="670"/>
      <c r="AN10" s="670"/>
      <c r="AO10" s="670"/>
      <c r="AP10" s="670"/>
      <c r="AQ10" s="670"/>
      <c r="AR10" s="674"/>
      <c r="AS10" s="109"/>
      <c r="AT10" s="109"/>
    </row>
    <row r="11" spans="1:53" ht="14.65" customHeight="1">
      <c r="A11" s="665">
        <f>IF(B11="","",IF(B11&gt;0,A9+1))</f>
        <v>2</v>
      </c>
      <c r="B11" s="667" t="s">
        <v>435</v>
      </c>
      <c r="C11" s="130" t="s">
        <v>79</v>
      </c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40"/>
      <c r="AI11" s="671">
        <f>COUNTIF($D11:$AH12,$AI$6)/2</f>
        <v>0</v>
      </c>
      <c r="AJ11" s="669">
        <f>COUNTIF($D11:$AH12,$AJ$6)/2</f>
        <v>0</v>
      </c>
      <c r="AK11" s="669">
        <f>COUNTIF($D11:$AH12,$AK$6)/2</f>
        <v>0</v>
      </c>
      <c r="AL11" s="669">
        <f>COUNTIF($D11:$AH12,$AL$6)/2</f>
        <v>0</v>
      </c>
      <c r="AM11" s="669">
        <f>COUNTIF($D11:$AH12,$AM$6)/2</f>
        <v>0</v>
      </c>
      <c r="AN11" s="669">
        <f>COUNTIF($D11:$AH12,$AN$6)/2</f>
        <v>0</v>
      </c>
      <c r="AO11" s="669">
        <f>COUNTIF($D11:$AH12,$AO$6)/2</f>
        <v>0</v>
      </c>
      <c r="AP11" s="669">
        <f>COUNTIF($D11:$AH12,$AP$6)/2</f>
        <v>0</v>
      </c>
      <c r="AQ11" s="669">
        <f>COUNTIF($D11:$AH12,$AQ$6)/2</f>
        <v>0</v>
      </c>
      <c r="AR11" s="673">
        <f>(AI11+AQ11)/$AK$4</f>
        <v>0</v>
      </c>
      <c r="AS11" s="109"/>
      <c r="AT11" s="109"/>
    </row>
    <row r="12" spans="1:53" ht="14.65" customHeight="1">
      <c r="A12" s="666"/>
      <c r="B12" s="668"/>
      <c r="C12" s="134" t="s">
        <v>77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2"/>
      <c r="AI12" s="672"/>
      <c r="AJ12" s="670"/>
      <c r="AK12" s="670"/>
      <c r="AL12" s="670"/>
      <c r="AM12" s="670"/>
      <c r="AN12" s="670"/>
      <c r="AO12" s="670"/>
      <c r="AP12" s="670"/>
      <c r="AQ12" s="670"/>
      <c r="AR12" s="674"/>
      <c r="AS12" s="109"/>
      <c r="AT12" s="109"/>
    </row>
    <row r="13" spans="1:53" ht="14.65" customHeight="1">
      <c r="A13" s="665">
        <f>IF(B13="","",IF(B13&gt;0,A11+1))</f>
        <v>3</v>
      </c>
      <c r="B13" s="667" t="s">
        <v>436</v>
      </c>
      <c r="C13" s="130" t="s">
        <v>76</v>
      </c>
      <c r="D13" s="139"/>
      <c r="E13" s="139"/>
      <c r="F13" s="139"/>
      <c r="G13" s="132"/>
      <c r="H13" s="132"/>
      <c r="I13" s="139"/>
      <c r="J13" s="139"/>
      <c r="K13" s="139"/>
      <c r="L13" s="139"/>
      <c r="M13" s="139"/>
      <c r="N13" s="132"/>
      <c r="O13" s="132"/>
      <c r="P13" s="139"/>
      <c r="Q13" s="139"/>
      <c r="R13" s="139"/>
      <c r="S13" s="139"/>
      <c r="T13" s="139"/>
      <c r="U13" s="132"/>
      <c r="V13" s="132"/>
      <c r="W13" s="139"/>
      <c r="X13" s="139"/>
      <c r="Y13" s="139"/>
      <c r="Z13" s="139"/>
      <c r="AA13" s="139"/>
      <c r="AB13" s="132"/>
      <c r="AC13" s="132"/>
      <c r="AD13" s="139"/>
      <c r="AE13" s="139"/>
      <c r="AF13" s="139"/>
      <c r="AG13" s="139"/>
      <c r="AH13" s="140"/>
      <c r="AI13" s="671">
        <f>COUNTIF($D13:$AH14,$AI$6)/2</f>
        <v>0</v>
      </c>
      <c r="AJ13" s="669">
        <f>COUNTIF($D13:$AH14,$AJ$6)/2</f>
        <v>0</v>
      </c>
      <c r="AK13" s="669">
        <f>COUNTIF($D13:$AH14,$AK$6)/2</f>
        <v>0</v>
      </c>
      <c r="AL13" s="669">
        <f>COUNTIF($D13:$AH14,$AL$6)/2</f>
        <v>0</v>
      </c>
      <c r="AM13" s="669">
        <f>COUNTIF($D13:$AH14,$AM$6)/2</f>
        <v>0</v>
      </c>
      <c r="AN13" s="669">
        <f>COUNTIF($D13:$AH14,$AN$6)/2</f>
        <v>0</v>
      </c>
      <c r="AO13" s="669">
        <f>COUNTIF($D13:$AH14,$AO$6)/2</f>
        <v>0</v>
      </c>
      <c r="AP13" s="669">
        <f>COUNTIF($D13:$AH14,$AP$6)/2</f>
        <v>0</v>
      </c>
      <c r="AQ13" s="669">
        <f>COUNTIF($D13:$AH14,$AQ$6)/2</f>
        <v>0</v>
      </c>
      <c r="AR13" s="673">
        <f>(AI13+AQ13)/$AK$4</f>
        <v>0</v>
      </c>
      <c r="AS13" s="109"/>
      <c r="AT13" s="109"/>
      <c r="AU13" s="675" t="s">
        <v>80</v>
      </c>
      <c r="AV13" s="675"/>
      <c r="AW13" s="675"/>
      <c r="AX13" s="675"/>
      <c r="AY13" s="675"/>
      <c r="AZ13" s="675"/>
      <c r="BA13" s="675"/>
    </row>
    <row r="14" spans="1:53" ht="14.65" customHeight="1">
      <c r="A14" s="666"/>
      <c r="B14" s="668"/>
      <c r="C14" s="134" t="s">
        <v>81</v>
      </c>
      <c r="D14" s="141"/>
      <c r="E14" s="141"/>
      <c r="F14" s="141"/>
      <c r="G14" s="136"/>
      <c r="H14" s="136"/>
      <c r="I14" s="141"/>
      <c r="J14" s="141"/>
      <c r="K14" s="141"/>
      <c r="L14" s="141"/>
      <c r="M14" s="141"/>
      <c r="N14" s="136"/>
      <c r="O14" s="136"/>
      <c r="P14" s="141"/>
      <c r="Q14" s="141"/>
      <c r="R14" s="141"/>
      <c r="S14" s="141"/>
      <c r="T14" s="141"/>
      <c r="U14" s="136"/>
      <c r="V14" s="136"/>
      <c r="W14" s="141"/>
      <c r="X14" s="141"/>
      <c r="Y14" s="141"/>
      <c r="Z14" s="141"/>
      <c r="AA14" s="141"/>
      <c r="AB14" s="136"/>
      <c r="AC14" s="136"/>
      <c r="AD14" s="141"/>
      <c r="AE14" s="141"/>
      <c r="AF14" s="141"/>
      <c r="AG14" s="141"/>
      <c r="AH14" s="142"/>
      <c r="AI14" s="672"/>
      <c r="AJ14" s="670"/>
      <c r="AK14" s="670"/>
      <c r="AL14" s="670"/>
      <c r="AM14" s="670"/>
      <c r="AN14" s="670"/>
      <c r="AO14" s="670"/>
      <c r="AP14" s="670"/>
      <c r="AQ14" s="670"/>
      <c r="AR14" s="674"/>
      <c r="AS14" s="109"/>
      <c r="AT14" s="109"/>
      <c r="AU14" s="675"/>
      <c r="AV14" s="675"/>
      <c r="AW14" s="675"/>
      <c r="AX14" s="675"/>
      <c r="AY14" s="675"/>
      <c r="AZ14" s="675"/>
      <c r="BA14" s="675"/>
    </row>
    <row r="15" spans="1:53" ht="14.65" customHeight="1">
      <c r="A15" s="665">
        <f>IF(B15="","",IF(B15&gt;0,A13+1))</f>
        <v>4</v>
      </c>
      <c r="B15" s="667" t="s">
        <v>437</v>
      </c>
      <c r="C15" s="130" t="s">
        <v>76</v>
      </c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40"/>
      <c r="AI15" s="671">
        <f>COUNTIF($D15:$AH16,$AI$6)/2</f>
        <v>0</v>
      </c>
      <c r="AJ15" s="669">
        <f>COUNTIF($D15:$AH16,$AJ$6)/2</f>
        <v>0</v>
      </c>
      <c r="AK15" s="669">
        <f>COUNTIF($D15:$AH16,$AK$6)/2</f>
        <v>0</v>
      </c>
      <c r="AL15" s="669">
        <f>COUNTIF($D15:$AH16,$AL$6)/2</f>
        <v>0</v>
      </c>
      <c r="AM15" s="669">
        <f>COUNTIF($D15:$AH16,$AM$6)/2</f>
        <v>0</v>
      </c>
      <c r="AN15" s="669">
        <f>COUNTIF($D15:$AH16,$AN$6)/2</f>
        <v>0</v>
      </c>
      <c r="AO15" s="669">
        <f>COUNTIF($D15:$AH16,$AO$6)/2</f>
        <v>0</v>
      </c>
      <c r="AP15" s="669">
        <f>COUNTIF($D15:$AH16,$AP$6)/2</f>
        <v>0</v>
      </c>
      <c r="AQ15" s="669">
        <f>COUNTIF($D15:$AH16,$AQ$6)/2</f>
        <v>0</v>
      </c>
      <c r="AR15" s="673">
        <f>(AI15+AQ15)/$AK$4</f>
        <v>0</v>
      </c>
      <c r="AS15" s="109"/>
      <c r="AT15" s="109"/>
      <c r="AU15" s="675"/>
      <c r="AV15" s="675"/>
      <c r="AW15" s="675"/>
      <c r="AX15" s="675"/>
      <c r="AY15" s="675"/>
      <c r="AZ15" s="675"/>
      <c r="BA15" s="675"/>
    </row>
    <row r="16" spans="1:53" ht="14.65" customHeight="1">
      <c r="A16" s="666"/>
      <c r="B16" s="668"/>
      <c r="C16" s="134" t="s">
        <v>77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2"/>
      <c r="AI16" s="672"/>
      <c r="AJ16" s="670"/>
      <c r="AK16" s="670"/>
      <c r="AL16" s="670"/>
      <c r="AM16" s="670"/>
      <c r="AN16" s="670"/>
      <c r="AO16" s="670"/>
      <c r="AP16" s="670"/>
      <c r="AQ16" s="670"/>
      <c r="AR16" s="674"/>
      <c r="AS16" s="109"/>
      <c r="AT16" s="109"/>
    </row>
    <row r="17" spans="1:46" ht="14.65" customHeight="1">
      <c r="A17" s="665">
        <f>IF(B17="","",IF(B17&gt;0,A15+1))</f>
        <v>5</v>
      </c>
      <c r="B17" s="667" t="s">
        <v>51</v>
      </c>
      <c r="C17" s="130" t="s">
        <v>76</v>
      </c>
      <c r="D17" s="139"/>
      <c r="E17" s="139"/>
      <c r="F17" s="139"/>
      <c r="G17" s="132"/>
      <c r="H17" s="132"/>
      <c r="I17" s="139"/>
      <c r="J17" s="139"/>
      <c r="K17" s="139"/>
      <c r="L17" s="139"/>
      <c r="M17" s="143"/>
      <c r="N17" s="132"/>
      <c r="O17" s="132"/>
      <c r="P17" s="139"/>
      <c r="Q17" s="139"/>
      <c r="R17" s="139"/>
      <c r="S17" s="139"/>
      <c r="T17" s="139"/>
      <c r="U17" s="132"/>
      <c r="V17" s="132"/>
      <c r="W17" s="139"/>
      <c r="X17" s="139"/>
      <c r="Y17" s="139"/>
      <c r="Z17" s="139"/>
      <c r="AA17" s="139"/>
      <c r="AB17" s="132"/>
      <c r="AC17" s="132"/>
      <c r="AD17" s="139"/>
      <c r="AE17" s="139"/>
      <c r="AF17" s="139"/>
      <c r="AG17" s="139"/>
      <c r="AH17" s="140"/>
      <c r="AI17" s="671">
        <f>COUNTIF($D17:$AH18,$AI$6)/2</f>
        <v>0</v>
      </c>
      <c r="AJ17" s="669">
        <f>COUNTIF($D17:$AH18,$AJ$6)/2</f>
        <v>0</v>
      </c>
      <c r="AK17" s="669">
        <f>COUNTIF($D17:$AH18,$AK$6)/2</f>
        <v>0</v>
      </c>
      <c r="AL17" s="669">
        <f>COUNTIF($D17:$AH18,$AL$6)/2</f>
        <v>0</v>
      </c>
      <c r="AM17" s="669">
        <f>COUNTIF($D17:$AH18,$AM$6)/2</f>
        <v>0</v>
      </c>
      <c r="AN17" s="669">
        <f>COUNTIF($D17:$AH18,$AN$6)/2</f>
        <v>0</v>
      </c>
      <c r="AO17" s="669">
        <f>COUNTIF($D17:$AH18,$AO$6)/2</f>
        <v>0</v>
      </c>
      <c r="AP17" s="669">
        <f>COUNTIF($D17:$AH18,$AP$6)/2</f>
        <v>0</v>
      </c>
      <c r="AQ17" s="669">
        <f>COUNTIF($D17:$AH18,$AQ$6)/2</f>
        <v>0</v>
      </c>
      <c r="AR17" s="673">
        <f>(AI17+AQ17)/$AK$4</f>
        <v>0</v>
      </c>
      <c r="AS17" s="109"/>
      <c r="AT17" s="109"/>
    </row>
    <row r="18" spans="1:46" ht="14.65" customHeight="1">
      <c r="A18" s="666"/>
      <c r="B18" s="668"/>
      <c r="C18" s="134" t="s">
        <v>77</v>
      </c>
      <c r="D18" s="141"/>
      <c r="E18" s="141"/>
      <c r="F18" s="141"/>
      <c r="G18" s="144"/>
      <c r="H18" s="144"/>
      <c r="I18" s="141"/>
      <c r="J18" s="141"/>
      <c r="K18" s="141"/>
      <c r="L18" s="141"/>
      <c r="M18" s="145"/>
      <c r="N18" s="136"/>
      <c r="O18" s="136"/>
      <c r="P18" s="141"/>
      <c r="Q18" s="141"/>
      <c r="R18" s="141"/>
      <c r="S18" s="141"/>
      <c r="T18" s="141"/>
      <c r="U18" s="136"/>
      <c r="V18" s="136"/>
      <c r="W18" s="141"/>
      <c r="X18" s="141"/>
      <c r="Y18" s="141"/>
      <c r="Z18" s="141"/>
      <c r="AA18" s="141"/>
      <c r="AB18" s="144"/>
      <c r="AC18" s="144"/>
      <c r="AD18" s="141"/>
      <c r="AE18" s="141"/>
      <c r="AF18" s="141"/>
      <c r="AG18" s="141"/>
      <c r="AH18" s="142"/>
      <c r="AI18" s="672"/>
      <c r="AJ18" s="670"/>
      <c r="AK18" s="670"/>
      <c r="AL18" s="670"/>
      <c r="AM18" s="670"/>
      <c r="AN18" s="670"/>
      <c r="AO18" s="670"/>
      <c r="AP18" s="670"/>
      <c r="AQ18" s="670"/>
      <c r="AR18" s="674"/>
      <c r="AS18" s="109"/>
      <c r="AT18" s="109"/>
    </row>
    <row r="19" spans="1:46" ht="14.65" customHeight="1">
      <c r="A19" s="665">
        <f>IF(B19="","",IF(B19&gt;0,A17+1))</f>
        <v>6</v>
      </c>
      <c r="B19" s="667" t="s">
        <v>438</v>
      </c>
      <c r="C19" s="130" t="s">
        <v>76</v>
      </c>
      <c r="D19" s="143"/>
      <c r="E19" s="143"/>
      <c r="F19" s="143"/>
      <c r="G19" s="143"/>
      <c r="H19" s="143"/>
      <c r="I19" s="143"/>
      <c r="J19" s="143"/>
      <c r="K19" s="143"/>
      <c r="L19" s="143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6"/>
      <c r="AC19" s="146"/>
      <c r="AD19" s="139"/>
      <c r="AE19" s="139"/>
      <c r="AF19" s="139"/>
      <c r="AG19" s="139"/>
      <c r="AH19" s="140"/>
      <c r="AI19" s="671">
        <f>COUNTIF($D19:$AH20,$AI$6)/2</f>
        <v>0</v>
      </c>
      <c r="AJ19" s="669">
        <f>COUNTIF($D19:$AH20,$AJ$6)/2</f>
        <v>0</v>
      </c>
      <c r="AK19" s="669">
        <f>COUNTIF($D19:$AH20,$AK$6)/2</f>
        <v>0</v>
      </c>
      <c r="AL19" s="669">
        <f>COUNTIF($D19:$AH20,$AL$6)/2</f>
        <v>0</v>
      </c>
      <c r="AM19" s="669">
        <f>COUNTIF($D19:$AH20,$AM$6)/2</f>
        <v>0</v>
      </c>
      <c r="AN19" s="669">
        <f>COUNTIF($D19:$AH20,$AN$6)/2</f>
        <v>0</v>
      </c>
      <c r="AO19" s="669">
        <f>COUNTIF($D19:$AH20,$AO$6)/2</f>
        <v>0</v>
      </c>
      <c r="AP19" s="669">
        <f>COUNTIF($D19:$AH20,$AP$6)/2</f>
        <v>0</v>
      </c>
      <c r="AQ19" s="669">
        <f>COUNTIF($D19:$AH20,$AQ$6)/2</f>
        <v>0</v>
      </c>
      <c r="AR19" s="673">
        <f>(AI19+AQ19)/$AK$4</f>
        <v>0</v>
      </c>
      <c r="AS19" s="109"/>
      <c r="AT19" s="109"/>
    </row>
    <row r="20" spans="1:46" ht="14.65" customHeight="1">
      <c r="A20" s="666"/>
      <c r="B20" s="668"/>
      <c r="C20" s="134" t="s">
        <v>77</v>
      </c>
      <c r="D20" s="145"/>
      <c r="E20" s="136"/>
      <c r="F20" s="136"/>
      <c r="G20" s="136"/>
      <c r="H20" s="136"/>
      <c r="I20" s="136"/>
      <c r="J20" s="136"/>
      <c r="K20" s="145"/>
      <c r="L20" s="145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2"/>
      <c r="AI20" s="672"/>
      <c r="AJ20" s="670"/>
      <c r="AK20" s="670"/>
      <c r="AL20" s="670"/>
      <c r="AM20" s="670"/>
      <c r="AN20" s="670"/>
      <c r="AO20" s="670"/>
      <c r="AP20" s="670"/>
      <c r="AQ20" s="670"/>
      <c r="AR20" s="674"/>
      <c r="AS20" s="109"/>
      <c r="AT20" s="109"/>
    </row>
    <row r="21" spans="1:46" ht="14.65" customHeight="1">
      <c r="A21" s="665">
        <f>IF(B21="","",IF(B21&gt;0,A19+1))</f>
        <v>7</v>
      </c>
      <c r="B21" s="667" t="s">
        <v>439</v>
      </c>
      <c r="C21" s="130" t="s">
        <v>76</v>
      </c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2"/>
      <c r="O21" s="132"/>
      <c r="P21" s="139"/>
      <c r="Q21" s="139"/>
      <c r="R21" s="139"/>
      <c r="S21" s="139"/>
      <c r="T21" s="139"/>
      <c r="U21" s="132"/>
      <c r="V21" s="132"/>
      <c r="W21" s="139"/>
      <c r="X21" s="139"/>
      <c r="Y21" s="139"/>
      <c r="Z21" s="139"/>
      <c r="AA21" s="139"/>
      <c r="AB21" s="132"/>
      <c r="AC21" s="132"/>
      <c r="AD21" s="139"/>
      <c r="AE21" s="139"/>
      <c r="AF21" s="139"/>
      <c r="AG21" s="139"/>
      <c r="AH21" s="140"/>
      <c r="AI21" s="671">
        <f>COUNTIF($D21:$AH22,$AI$6)/2</f>
        <v>0</v>
      </c>
      <c r="AJ21" s="669">
        <f>COUNTIF($D21:$AH22,$AJ$6)/2</f>
        <v>0</v>
      </c>
      <c r="AK21" s="669">
        <f>COUNTIF($D21:$AH22,$AK$6)/2</f>
        <v>0</v>
      </c>
      <c r="AL21" s="669">
        <f>COUNTIF($D21:$AH22,$AL$6)/2</f>
        <v>0</v>
      </c>
      <c r="AM21" s="669">
        <f>COUNTIF($D21:$AH22,$AM$6)/2</f>
        <v>0</v>
      </c>
      <c r="AN21" s="669">
        <f>COUNTIF($D21:$AH22,$AN$6)/2</f>
        <v>0</v>
      </c>
      <c r="AO21" s="669">
        <f>COUNTIF($D21:$AH22,$AO$6)/2</f>
        <v>0</v>
      </c>
      <c r="AP21" s="669">
        <f>COUNTIF($D21:$AH22,$AP$6)/2</f>
        <v>0</v>
      </c>
      <c r="AQ21" s="669">
        <f>COUNTIF($D21:$AH22,$AQ$6)/2</f>
        <v>0</v>
      </c>
      <c r="AR21" s="673">
        <f>(AI21+AQ21)/$AK$4</f>
        <v>0</v>
      </c>
      <c r="AS21" s="109"/>
      <c r="AT21" s="109"/>
    </row>
    <row r="22" spans="1:46" ht="14.65" customHeight="1">
      <c r="A22" s="666"/>
      <c r="B22" s="668"/>
      <c r="C22" s="134" t="s">
        <v>77</v>
      </c>
      <c r="D22" s="141"/>
      <c r="E22" s="141"/>
      <c r="F22" s="141"/>
      <c r="G22" s="136"/>
      <c r="H22" s="136"/>
      <c r="I22" s="141"/>
      <c r="J22" s="141"/>
      <c r="K22" s="141"/>
      <c r="L22" s="141"/>
      <c r="M22" s="141"/>
      <c r="N22" s="136"/>
      <c r="O22" s="136"/>
      <c r="P22" s="141"/>
      <c r="Q22" s="141"/>
      <c r="R22" s="141"/>
      <c r="S22" s="141"/>
      <c r="T22" s="141"/>
      <c r="U22" s="136"/>
      <c r="V22" s="136"/>
      <c r="W22" s="141"/>
      <c r="X22" s="141"/>
      <c r="Y22" s="141"/>
      <c r="Z22" s="141"/>
      <c r="AA22" s="141"/>
      <c r="AB22" s="136"/>
      <c r="AC22" s="136"/>
      <c r="AD22" s="141"/>
      <c r="AE22" s="141"/>
      <c r="AF22" s="141"/>
      <c r="AG22" s="141"/>
      <c r="AH22" s="142"/>
      <c r="AI22" s="672"/>
      <c r="AJ22" s="670"/>
      <c r="AK22" s="670"/>
      <c r="AL22" s="670"/>
      <c r="AM22" s="670"/>
      <c r="AN22" s="670"/>
      <c r="AO22" s="670"/>
      <c r="AP22" s="670"/>
      <c r="AQ22" s="670"/>
      <c r="AR22" s="674"/>
      <c r="AS22" s="109"/>
      <c r="AT22" s="109"/>
    </row>
    <row r="23" spans="1:46" ht="14.65" customHeight="1">
      <c r="A23" s="665">
        <f>IF(B23="","",IF(B23&gt;0,A21+1))</f>
        <v>8</v>
      </c>
      <c r="B23" s="667" t="s">
        <v>440</v>
      </c>
      <c r="C23" s="130" t="s">
        <v>76</v>
      </c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40"/>
      <c r="AI23" s="671">
        <f>COUNTIF($D23:$AH24,$AI$6)/2</f>
        <v>0</v>
      </c>
      <c r="AJ23" s="669">
        <f>COUNTIF($D23:$AH24,$AJ$6)/2</f>
        <v>0</v>
      </c>
      <c r="AK23" s="669">
        <f>COUNTIF($D23:$AH24,$AK$6)/2</f>
        <v>0</v>
      </c>
      <c r="AL23" s="669">
        <f>COUNTIF($D23:$AH24,$AL$6)/2</f>
        <v>0</v>
      </c>
      <c r="AM23" s="669">
        <f>COUNTIF($D23:$AH24,$AM$6)/2</f>
        <v>0</v>
      </c>
      <c r="AN23" s="669">
        <f>COUNTIF($D23:$AH24,$AN$6)/2</f>
        <v>0</v>
      </c>
      <c r="AO23" s="669">
        <f>COUNTIF($D23:$AH24,$AO$6)/2</f>
        <v>0</v>
      </c>
      <c r="AP23" s="669">
        <f>COUNTIF($D23:$AH24,$AP$6)/2</f>
        <v>0</v>
      </c>
      <c r="AQ23" s="669">
        <f>COUNTIF($D23:$AH24,$AQ$6)/2</f>
        <v>0</v>
      </c>
      <c r="AR23" s="673">
        <f>(AI23+AQ23)/$AK$4</f>
        <v>0</v>
      </c>
      <c r="AS23" s="109"/>
      <c r="AT23" s="109"/>
    </row>
    <row r="24" spans="1:46" ht="14.65" customHeight="1">
      <c r="A24" s="666"/>
      <c r="B24" s="668"/>
      <c r="C24" s="134" t="s">
        <v>77</v>
      </c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2"/>
      <c r="AI24" s="672"/>
      <c r="AJ24" s="670"/>
      <c r="AK24" s="670"/>
      <c r="AL24" s="670"/>
      <c r="AM24" s="670"/>
      <c r="AN24" s="670"/>
      <c r="AO24" s="670"/>
      <c r="AP24" s="670"/>
      <c r="AQ24" s="670"/>
      <c r="AR24" s="674"/>
      <c r="AS24" s="109"/>
      <c r="AT24" s="109"/>
    </row>
    <row r="25" spans="1:46" ht="14.65" customHeight="1">
      <c r="A25" s="665">
        <f>IF(B25="","",IF(B25&gt;0,A23+1))</f>
        <v>9</v>
      </c>
      <c r="B25" s="667" t="s">
        <v>52</v>
      </c>
      <c r="C25" s="130" t="s">
        <v>76</v>
      </c>
      <c r="D25" s="139"/>
      <c r="E25" s="139"/>
      <c r="F25" s="139"/>
      <c r="G25" s="132"/>
      <c r="H25" s="132"/>
      <c r="I25" s="139"/>
      <c r="J25" s="139"/>
      <c r="K25" s="139"/>
      <c r="L25" s="139"/>
      <c r="M25" s="139"/>
      <c r="N25" s="132"/>
      <c r="O25" s="132"/>
      <c r="P25" s="139"/>
      <c r="Q25" s="139"/>
      <c r="R25" s="139"/>
      <c r="S25" s="139"/>
      <c r="T25" s="139"/>
      <c r="U25" s="132"/>
      <c r="V25" s="132"/>
      <c r="W25" s="139"/>
      <c r="X25" s="139"/>
      <c r="Y25" s="139"/>
      <c r="Z25" s="139"/>
      <c r="AA25" s="139"/>
      <c r="AB25" s="132"/>
      <c r="AC25" s="132"/>
      <c r="AD25" s="139"/>
      <c r="AE25" s="139"/>
      <c r="AF25" s="139"/>
      <c r="AG25" s="139"/>
      <c r="AH25" s="140"/>
      <c r="AI25" s="671">
        <f>COUNTIF($D25:$AH26,$AI$6)/2</f>
        <v>0</v>
      </c>
      <c r="AJ25" s="669">
        <f>COUNTIF($D25:$AH26,$AJ$6)/2</f>
        <v>0</v>
      </c>
      <c r="AK25" s="669">
        <f>COUNTIF($D25:$AH26,$AK$6)/2</f>
        <v>0</v>
      </c>
      <c r="AL25" s="669">
        <f>COUNTIF($D25:$AH26,$AL$6)/2</f>
        <v>0</v>
      </c>
      <c r="AM25" s="669">
        <f>COUNTIF($D25:$AH26,$AM$6)/2</f>
        <v>0</v>
      </c>
      <c r="AN25" s="669">
        <f>COUNTIF($D25:$AH26,$AN$6)/2</f>
        <v>0</v>
      </c>
      <c r="AO25" s="669">
        <f>COUNTIF($D25:$AH26,$AO$6)/2</f>
        <v>0</v>
      </c>
      <c r="AP25" s="669">
        <f>COUNTIF($D25:$AH26,$AP$6)/2</f>
        <v>0</v>
      </c>
      <c r="AQ25" s="669">
        <f>COUNTIF($D25:$AH26,$AQ$6)/2</f>
        <v>0</v>
      </c>
      <c r="AR25" s="673">
        <f>(AI25+AQ25)/$AK$4</f>
        <v>0</v>
      </c>
      <c r="AS25" s="109"/>
      <c r="AT25" s="109"/>
    </row>
    <row r="26" spans="1:46" ht="14.65" customHeight="1">
      <c r="A26" s="666"/>
      <c r="B26" s="668"/>
      <c r="C26" s="134" t="s">
        <v>77</v>
      </c>
      <c r="D26" s="141"/>
      <c r="E26" s="141"/>
      <c r="F26" s="141"/>
      <c r="G26" s="144"/>
      <c r="H26" s="144"/>
      <c r="I26" s="141"/>
      <c r="J26" s="141"/>
      <c r="K26" s="141"/>
      <c r="L26" s="141"/>
      <c r="M26" s="141"/>
      <c r="N26" s="144"/>
      <c r="O26" s="144"/>
      <c r="P26" s="141"/>
      <c r="Q26" s="141"/>
      <c r="R26" s="141"/>
      <c r="S26" s="141"/>
      <c r="T26" s="141"/>
      <c r="U26" s="144"/>
      <c r="V26" s="144"/>
      <c r="W26" s="141"/>
      <c r="X26" s="141"/>
      <c r="Y26" s="141"/>
      <c r="Z26" s="141"/>
      <c r="AA26" s="141"/>
      <c r="AB26" s="144"/>
      <c r="AC26" s="144"/>
      <c r="AD26" s="141"/>
      <c r="AE26" s="141"/>
      <c r="AF26" s="141"/>
      <c r="AG26" s="141"/>
      <c r="AH26" s="142"/>
      <c r="AI26" s="672"/>
      <c r="AJ26" s="670"/>
      <c r="AK26" s="670"/>
      <c r="AL26" s="670"/>
      <c r="AM26" s="670"/>
      <c r="AN26" s="670"/>
      <c r="AO26" s="670"/>
      <c r="AP26" s="670"/>
      <c r="AQ26" s="670"/>
      <c r="AR26" s="674"/>
      <c r="AS26" s="109"/>
      <c r="AT26" s="109"/>
    </row>
    <row r="27" spans="1:46" ht="14.65" customHeight="1">
      <c r="A27" s="665" t="str">
        <f>IF(B27="","",IF(B27&gt;0,A25+1))</f>
        <v/>
      </c>
      <c r="B27" s="667"/>
      <c r="C27" s="130" t="s">
        <v>76</v>
      </c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7"/>
      <c r="AI27" s="671">
        <f>COUNTIF($D27:$AH28,$AI$6)/2</f>
        <v>0</v>
      </c>
      <c r="AJ27" s="669">
        <f>COUNTIF($D27:$AH28,$AJ$6)/2</f>
        <v>0</v>
      </c>
      <c r="AK27" s="669">
        <f>COUNTIF($D27:$AH28,$AK$6)/2</f>
        <v>0</v>
      </c>
      <c r="AL27" s="669">
        <f>COUNTIF($D27:$AH28,$AL$6)/2</f>
        <v>0</v>
      </c>
      <c r="AM27" s="669">
        <f>COUNTIF($D27:$AH28,$AM$6)/2</f>
        <v>0</v>
      </c>
      <c r="AN27" s="669">
        <f>COUNTIF($D27:$AH28,$AN$6)/2</f>
        <v>0</v>
      </c>
      <c r="AO27" s="669">
        <f>COUNTIF($D27:$AH28,$AO$6)/2</f>
        <v>0</v>
      </c>
      <c r="AP27" s="669">
        <f>COUNTIF($D27:$AH28,$AP$6)/2</f>
        <v>0</v>
      </c>
      <c r="AQ27" s="669">
        <f>COUNTIF($D27:$AH28,$AQ$6)/2</f>
        <v>0</v>
      </c>
      <c r="AR27" s="673">
        <f>(AI27+AQ27)/$AK$4</f>
        <v>0</v>
      </c>
      <c r="AS27" s="109"/>
      <c r="AT27" s="109"/>
    </row>
    <row r="28" spans="1:46" ht="14.65" customHeight="1">
      <c r="A28" s="666"/>
      <c r="B28" s="668"/>
      <c r="C28" s="134" t="s">
        <v>77</v>
      </c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/>
      <c r="AD28" s="145"/>
      <c r="AE28" s="145"/>
      <c r="AF28" s="145"/>
      <c r="AG28" s="145"/>
      <c r="AH28" s="148"/>
      <c r="AI28" s="672"/>
      <c r="AJ28" s="670"/>
      <c r="AK28" s="670"/>
      <c r="AL28" s="670"/>
      <c r="AM28" s="670"/>
      <c r="AN28" s="670"/>
      <c r="AO28" s="670"/>
      <c r="AP28" s="670"/>
      <c r="AQ28" s="670"/>
      <c r="AR28" s="674"/>
      <c r="AS28" s="109"/>
      <c r="AT28" s="109"/>
    </row>
    <row r="29" spans="1:46" ht="14.65" customHeight="1">
      <c r="A29" s="665" t="str">
        <f>IF(B29="","",IF(B29&gt;0,A27+1))</f>
        <v/>
      </c>
      <c r="B29" s="667"/>
      <c r="C29" s="130" t="s">
        <v>76</v>
      </c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9"/>
      <c r="AI29" s="671">
        <f>COUNTIF($D29:$AH30,$AI$6)/2</f>
        <v>0</v>
      </c>
      <c r="AJ29" s="669">
        <f>COUNTIF($D29:$AH30,$AJ$6)/2</f>
        <v>0</v>
      </c>
      <c r="AK29" s="669">
        <f>COUNTIF($D29:$AH30,$AK$6)/2</f>
        <v>0</v>
      </c>
      <c r="AL29" s="669">
        <f>COUNTIF($D29:$AH30,$AL$6)/2</f>
        <v>0</v>
      </c>
      <c r="AM29" s="669">
        <f>COUNTIF($D29:$AH30,$AM$6)/2</f>
        <v>0</v>
      </c>
      <c r="AN29" s="669">
        <f>COUNTIF($D29:$AH30,$AN$6)/2</f>
        <v>0</v>
      </c>
      <c r="AO29" s="669">
        <f>COUNTIF($D29:$AH30,$AO$6)/2</f>
        <v>0</v>
      </c>
      <c r="AP29" s="669">
        <f>COUNTIF($D29:$AH30,$AP$6)/2</f>
        <v>0</v>
      </c>
      <c r="AQ29" s="669">
        <f>COUNTIF($D29:$AH30,$AQ$6)/2</f>
        <v>0</v>
      </c>
      <c r="AR29" s="673">
        <f>(AI29+AQ29)/$AK$4</f>
        <v>0</v>
      </c>
      <c r="AS29" s="109"/>
      <c r="AT29" s="109"/>
    </row>
    <row r="30" spans="1:46" ht="14.65" customHeight="1">
      <c r="A30" s="666"/>
      <c r="B30" s="668"/>
      <c r="C30" s="150" t="s">
        <v>77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2"/>
      <c r="AI30" s="672"/>
      <c r="AJ30" s="670"/>
      <c r="AK30" s="670"/>
      <c r="AL30" s="670"/>
      <c r="AM30" s="670"/>
      <c r="AN30" s="670"/>
      <c r="AO30" s="670"/>
      <c r="AP30" s="670"/>
      <c r="AQ30" s="670"/>
      <c r="AR30" s="674"/>
      <c r="AS30" s="109"/>
      <c r="AT30" s="109"/>
    </row>
    <row r="31" spans="1:46" ht="14.65" customHeight="1">
      <c r="A31" s="665" t="str">
        <f>IF(B31="","",IF(B31&gt;0,A29+1))</f>
        <v/>
      </c>
      <c r="B31" s="667"/>
      <c r="C31" s="130" t="s">
        <v>76</v>
      </c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7"/>
      <c r="AI31" s="153">
        <f t="shared" ref="AI31:AI38" si="2">COUNTIF($D31:$AH31,$AI$6)</f>
        <v>0</v>
      </c>
      <c r="AJ31" s="154">
        <f t="shared" ref="AJ31:AJ38" si="3">COUNTIF($D31:$AH31,$AJ$6)</f>
        <v>0</v>
      </c>
      <c r="AK31" s="154">
        <f t="shared" ref="AK31:AK38" si="4">COUNTIF($D31:$AH31,$AK$6)</f>
        <v>0</v>
      </c>
      <c r="AL31" s="154">
        <f t="shared" ref="AL31:AL38" si="5">COUNTIF($D31:$AH31,$AL$6)</f>
        <v>0</v>
      </c>
      <c r="AM31" s="154">
        <f t="shared" ref="AM31:AM38" si="6">COUNTIF($D31:$AH31,$AM$6)</f>
        <v>0</v>
      </c>
      <c r="AN31" s="154">
        <f t="shared" ref="AN31:AN38" si="7">COUNTIF($D31:$AH31,$AN$6)</f>
        <v>0</v>
      </c>
      <c r="AO31" s="154">
        <f t="shared" ref="AO31:AO38" si="8">COUNTIF($D31:$AH31,$AO$6)</f>
        <v>0</v>
      </c>
      <c r="AP31" s="154">
        <f t="shared" ref="AP31:AP38" si="9">COUNTIF($D31:$AH31,$AP$6)</f>
        <v>0</v>
      </c>
      <c r="AQ31" s="155">
        <f t="shared" ref="AQ31:AQ38" si="10">COUNTIF($D31:$AH31,$AQ$6)</f>
        <v>0</v>
      </c>
      <c r="AR31" s="138">
        <f t="shared" ref="AR31:AR38" si="11">(AI31+AQ31)/$AK$4</f>
        <v>0</v>
      </c>
      <c r="AS31" s="109"/>
      <c r="AT31" s="109"/>
    </row>
    <row r="32" spans="1:46" ht="14.65" customHeight="1">
      <c r="A32" s="666"/>
      <c r="B32" s="668"/>
      <c r="C32" s="150" t="s">
        <v>77</v>
      </c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2"/>
      <c r="AI32" s="153">
        <f t="shared" si="2"/>
        <v>0</v>
      </c>
      <c r="AJ32" s="154">
        <f t="shared" si="3"/>
        <v>0</v>
      </c>
      <c r="AK32" s="154">
        <f t="shared" si="4"/>
        <v>0</v>
      </c>
      <c r="AL32" s="154">
        <f t="shared" si="5"/>
        <v>0</v>
      </c>
      <c r="AM32" s="154">
        <f t="shared" si="6"/>
        <v>0</v>
      </c>
      <c r="AN32" s="154">
        <f t="shared" si="7"/>
        <v>0</v>
      </c>
      <c r="AO32" s="154">
        <f t="shared" si="8"/>
        <v>0</v>
      </c>
      <c r="AP32" s="154">
        <f t="shared" si="9"/>
        <v>0</v>
      </c>
      <c r="AQ32" s="155">
        <f t="shared" si="10"/>
        <v>0</v>
      </c>
      <c r="AR32" s="138">
        <f t="shared" si="11"/>
        <v>0</v>
      </c>
      <c r="AS32" s="109"/>
      <c r="AT32" s="109"/>
    </row>
    <row r="33" spans="1:46" ht="14.65" customHeight="1">
      <c r="A33" s="665" t="str">
        <f>IF(B33="","",IF(B33&gt;0,A31+1))</f>
        <v/>
      </c>
      <c r="B33" s="667"/>
      <c r="C33" s="130" t="s">
        <v>76</v>
      </c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7"/>
      <c r="AI33" s="153">
        <f t="shared" si="2"/>
        <v>0</v>
      </c>
      <c r="AJ33" s="154">
        <f t="shared" si="3"/>
        <v>0</v>
      </c>
      <c r="AK33" s="154">
        <f t="shared" si="4"/>
        <v>0</v>
      </c>
      <c r="AL33" s="154">
        <f t="shared" si="5"/>
        <v>0</v>
      </c>
      <c r="AM33" s="154">
        <f t="shared" si="6"/>
        <v>0</v>
      </c>
      <c r="AN33" s="154">
        <f t="shared" si="7"/>
        <v>0</v>
      </c>
      <c r="AO33" s="154">
        <f t="shared" si="8"/>
        <v>0</v>
      </c>
      <c r="AP33" s="154">
        <f t="shared" si="9"/>
        <v>0</v>
      </c>
      <c r="AQ33" s="155">
        <f t="shared" si="10"/>
        <v>0</v>
      </c>
      <c r="AR33" s="138">
        <f t="shared" si="11"/>
        <v>0</v>
      </c>
      <c r="AS33" s="109"/>
      <c r="AT33" s="109"/>
    </row>
    <row r="34" spans="1:46" ht="14.65" customHeight="1">
      <c r="A34" s="666"/>
      <c r="B34" s="668"/>
      <c r="C34" s="150" t="s">
        <v>77</v>
      </c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2"/>
      <c r="AI34" s="153">
        <f t="shared" si="2"/>
        <v>0</v>
      </c>
      <c r="AJ34" s="154">
        <f t="shared" si="3"/>
        <v>0</v>
      </c>
      <c r="AK34" s="154">
        <f t="shared" si="4"/>
        <v>0</v>
      </c>
      <c r="AL34" s="154">
        <f t="shared" si="5"/>
        <v>0</v>
      </c>
      <c r="AM34" s="154">
        <f t="shared" si="6"/>
        <v>0</v>
      </c>
      <c r="AN34" s="154">
        <f t="shared" si="7"/>
        <v>0</v>
      </c>
      <c r="AO34" s="154">
        <f t="shared" si="8"/>
        <v>0</v>
      </c>
      <c r="AP34" s="154">
        <f t="shared" si="9"/>
        <v>0</v>
      </c>
      <c r="AQ34" s="155">
        <f t="shared" si="10"/>
        <v>0</v>
      </c>
      <c r="AR34" s="138">
        <f t="shared" si="11"/>
        <v>0</v>
      </c>
      <c r="AS34" s="109"/>
      <c r="AT34" s="109"/>
    </row>
    <row r="35" spans="1:46" ht="14.65" customHeight="1">
      <c r="A35" s="665" t="str">
        <f>IF(B35="","",IF(B35&gt;0,A33+1))</f>
        <v/>
      </c>
      <c r="B35" s="667"/>
      <c r="C35" s="130" t="s">
        <v>76</v>
      </c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7"/>
      <c r="AI35" s="153">
        <f t="shared" si="2"/>
        <v>0</v>
      </c>
      <c r="AJ35" s="154">
        <f t="shared" si="3"/>
        <v>0</v>
      </c>
      <c r="AK35" s="154">
        <f t="shared" si="4"/>
        <v>0</v>
      </c>
      <c r="AL35" s="154">
        <f t="shared" si="5"/>
        <v>0</v>
      </c>
      <c r="AM35" s="154">
        <f t="shared" si="6"/>
        <v>0</v>
      </c>
      <c r="AN35" s="154">
        <f t="shared" si="7"/>
        <v>0</v>
      </c>
      <c r="AO35" s="154">
        <f t="shared" si="8"/>
        <v>0</v>
      </c>
      <c r="AP35" s="154">
        <f t="shared" si="9"/>
        <v>0</v>
      </c>
      <c r="AQ35" s="155">
        <f t="shared" si="10"/>
        <v>0</v>
      </c>
      <c r="AR35" s="138">
        <f t="shared" si="11"/>
        <v>0</v>
      </c>
      <c r="AS35" s="109"/>
      <c r="AT35" s="109"/>
    </row>
    <row r="36" spans="1:46" ht="14.65" customHeight="1">
      <c r="A36" s="666"/>
      <c r="B36" s="668"/>
      <c r="C36" s="150" t="s">
        <v>77</v>
      </c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2"/>
      <c r="AI36" s="153">
        <f t="shared" si="2"/>
        <v>0</v>
      </c>
      <c r="AJ36" s="154">
        <f t="shared" si="3"/>
        <v>0</v>
      </c>
      <c r="AK36" s="154">
        <f t="shared" si="4"/>
        <v>0</v>
      </c>
      <c r="AL36" s="154">
        <f t="shared" si="5"/>
        <v>0</v>
      </c>
      <c r="AM36" s="154">
        <f t="shared" si="6"/>
        <v>0</v>
      </c>
      <c r="AN36" s="154">
        <f t="shared" si="7"/>
        <v>0</v>
      </c>
      <c r="AO36" s="154">
        <f t="shared" si="8"/>
        <v>0</v>
      </c>
      <c r="AP36" s="154">
        <f t="shared" si="9"/>
        <v>0</v>
      </c>
      <c r="AQ36" s="155">
        <f t="shared" si="10"/>
        <v>0</v>
      </c>
      <c r="AR36" s="138">
        <f t="shared" si="11"/>
        <v>0</v>
      </c>
      <c r="AS36" s="109"/>
      <c r="AT36" s="109"/>
    </row>
    <row r="37" spans="1:46" ht="14.65" customHeight="1">
      <c r="A37" s="665" t="str">
        <f>IF(B37="","",IF(B37&gt;0,A35+1))</f>
        <v/>
      </c>
      <c r="B37" s="667"/>
      <c r="C37" s="130" t="s">
        <v>76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7"/>
      <c r="AI37" s="153">
        <f t="shared" si="2"/>
        <v>0</v>
      </c>
      <c r="AJ37" s="154">
        <f t="shared" si="3"/>
        <v>0</v>
      </c>
      <c r="AK37" s="154">
        <f t="shared" si="4"/>
        <v>0</v>
      </c>
      <c r="AL37" s="154">
        <f t="shared" si="5"/>
        <v>0</v>
      </c>
      <c r="AM37" s="154">
        <f t="shared" si="6"/>
        <v>0</v>
      </c>
      <c r="AN37" s="154">
        <f t="shared" si="7"/>
        <v>0</v>
      </c>
      <c r="AO37" s="154">
        <f t="shared" si="8"/>
        <v>0</v>
      </c>
      <c r="AP37" s="154">
        <f t="shared" si="9"/>
        <v>0</v>
      </c>
      <c r="AQ37" s="155">
        <f t="shared" si="10"/>
        <v>0</v>
      </c>
      <c r="AR37" s="138">
        <f t="shared" si="11"/>
        <v>0</v>
      </c>
      <c r="AS37" s="109"/>
      <c r="AT37" s="109"/>
    </row>
    <row r="38" spans="1:46" ht="14.65" customHeight="1" thickBot="1">
      <c r="A38" s="666"/>
      <c r="B38" s="668"/>
      <c r="C38" s="150" t="s">
        <v>77</v>
      </c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2"/>
      <c r="AI38" s="156">
        <f t="shared" si="2"/>
        <v>0</v>
      </c>
      <c r="AJ38" s="157">
        <f t="shared" si="3"/>
        <v>0</v>
      </c>
      <c r="AK38" s="157">
        <f t="shared" si="4"/>
        <v>0</v>
      </c>
      <c r="AL38" s="157">
        <f t="shared" si="5"/>
        <v>0</v>
      </c>
      <c r="AM38" s="157">
        <f t="shared" si="6"/>
        <v>0</v>
      </c>
      <c r="AN38" s="157">
        <f t="shared" si="7"/>
        <v>0</v>
      </c>
      <c r="AO38" s="157">
        <f t="shared" si="8"/>
        <v>0</v>
      </c>
      <c r="AP38" s="157">
        <f t="shared" si="9"/>
        <v>0</v>
      </c>
      <c r="AQ38" s="157">
        <f t="shared" si="10"/>
        <v>0</v>
      </c>
      <c r="AR38" s="158">
        <f t="shared" si="11"/>
        <v>0</v>
      </c>
      <c r="AS38" s="109"/>
      <c r="AT38" s="109"/>
    </row>
    <row r="39" spans="1:46" ht="3" customHeight="1">
      <c r="A39" s="159"/>
      <c r="B39" s="160"/>
      <c r="C39" s="160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10"/>
      <c r="AJ39" s="110"/>
      <c r="AK39" s="110"/>
      <c r="AL39" s="110"/>
      <c r="AM39" s="110"/>
      <c r="AN39" s="110"/>
      <c r="AO39" s="110"/>
      <c r="AP39" s="110"/>
      <c r="AQ39" s="110"/>
      <c r="AR39" s="162"/>
      <c r="AS39" s="109"/>
      <c r="AT39" s="109"/>
    </row>
    <row r="40" spans="1:46" ht="14.65" customHeight="1">
      <c r="A40" s="660" t="s">
        <v>82</v>
      </c>
      <c r="B40" s="163" t="s">
        <v>66</v>
      </c>
      <c r="C40" s="164"/>
      <c r="D40" s="165">
        <f>COUNTIF(D$9:D$38,$B$40)/2</f>
        <v>0</v>
      </c>
      <c r="E40" s="165">
        <f t="shared" ref="E40:AH40" si="12">COUNTIF(E$9:E$38,$B$40)/2</f>
        <v>0</v>
      </c>
      <c r="F40" s="165">
        <f t="shared" si="12"/>
        <v>0</v>
      </c>
      <c r="G40" s="165">
        <f t="shared" si="12"/>
        <v>0</v>
      </c>
      <c r="H40" s="165">
        <f t="shared" si="12"/>
        <v>0</v>
      </c>
      <c r="I40" s="165">
        <f t="shared" si="12"/>
        <v>0</v>
      </c>
      <c r="J40" s="165">
        <f t="shared" si="12"/>
        <v>0</v>
      </c>
      <c r="K40" s="165">
        <f t="shared" si="12"/>
        <v>0</v>
      </c>
      <c r="L40" s="165">
        <f t="shared" si="12"/>
        <v>0</v>
      </c>
      <c r="M40" s="165">
        <f t="shared" si="12"/>
        <v>0</v>
      </c>
      <c r="N40" s="165">
        <f t="shared" si="12"/>
        <v>0</v>
      </c>
      <c r="O40" s="165">
        <f t="shared" si="12"/>
        <v>0</v>
      </c>
      <c r="P40" s="165">
        <f t="shared" si="12"/>
        <v>0</v>
      </c>
      <c r="Q40" s="165">
        <f t="shared" si="12"/>
        <v>0</v>
      </c>
      <c r="R40" s="165">
        <f t="shared" si="12"/>
        <v>0</v>
      </c>
      <c r="S40" s="165">
        <f t="shared" si="12"/>
        <v>0</v>
      </c>
      <c r="T40" s="165">
        <f t="shared" si="12"/>
        <v>0</v>
      </c>
      <c r="U40" s="165">
        <f t="shared" si="12"/>
        <v>0</v>
      </c>
      <c r="V40" s="165">
        <f t="shared" si="12"/>
        <v>0</v>
      </c>
      <c r="W40" s="165">
        <f t="shared" si="12"/>
        <v>0</v>
      </c>
      <c r="X40" s="165">
        <f t="shared" si="12"/>
        <v>0</v>
      </c>
      <c r="Y40" s="165">
        <f>COUNTIF(Y$9:Y$38,$B$40)/2</f>
        <v>0</v>
      </c>
      <c r="Z40" s="165">
        <f t="shared" si="12"/>
        <v>0</v>
      </c>
      <c r="AA40" s="165">
        <f t="shared" si="12"/>
        <v>0</v>
      </c>
      <c r="AB40" s="165">
        <f t="shared" si="12"/>
        <v>0</v>
      </c>
      <c r="AC40" s="165">
        <f t="shared" si="12"/>
        <v>0</v>
      </c>
      <c r="AD40" s="165">
        <f t="shared" si="12"/>
        <v>0</v>
      </c>
      <c r="AE40" s="165">
        <f t="shared" si="12"/>
        <v>0</v>
      </c>
      <c r="AF40" s="165">
        <f t="shared" si="12"/>
        <v>0</v>
      </c>
      <c r="AG40" s="165">
        <f t="shared" si="12"/>
        <v>0</v>
      </c>
      <c r="AH40" s="166">
        <f t="shared" si="12"/>
        <v>0</v>
      </c>
      <c r="AI40" s="110"/>
      <c r="AJ40" s="110"/>
      <c r="AK40" s="110"/>
      <c r="AL40" s="110"/>
      <c r="AM40" s="110"/>
      <c r="AN40" s="110"/>
      <c r="AO40" s="110"/>
      <c r="AP40" s="110"/>
      <c r="AQ40" s="110"/>
      <c r="AR40" s="162"/>
      <c r="AS40" s="109"/>
      <c r="AT40" s="109"/>
    </row>
    <row r="41" spans="1:46" ht="14.65" customHeight="1">
      <c r="A41" s="660"/>
      <c r="B41" s="163" t="s">
        <v>83</v>
      </c>
      <c r="C41" s="164"/>
      <c r="D41" s="165">
        <f>COUNTIF(D$9:D$38,$B$41)/2</f>
        <v>0</v>
      </c>
      <c r="E41" s="165">
        <f t="shared" ref="E41:AH41" si="13">COUNTIF(E$9:E$38,$B$41)/2</f>
        <v>0</v>
      </c>
      <c r="F41" s="165">
        <f t="shared" si="13"/>
        <v>0</v>
      </c>
      <c r="G41" s="165">
        <f t="shared" si="13"/>
        <v>0</v>
      </c>
      <c r="H41" s="165">
        <f t="shared" si="13"/>
        <v>0</v>
      </c>
      <c r="I41" s="165">
        <f t="shared" si="13"/>
        <v>0</v>
      </c>
      <c r="J41" s="165">
        <f t="shared" si="13"/>
        <v>0</v>
      </c>
      <c r="K41" s="165">
        <f t="shared" si="13"/>
        <v>0</v>
      </c>
      <c r="L41" s="165">
        <f t="shared" si="13"/>
        <v>0</v>
      </c>
      <c r="M41" s="165">
        <f t="shared" si="13"/>
        <v>0</v>
      </c>
      <c r="N41" s="165">
        <f t="shared" si="13"/>
        <v>0</v>
      </c>
      <c r="O41" s="165">
        <f t="shared" si="13"/>
        <v>0</v>
      </c>
      <c r="P41" s="165">
        <f t="shared" si="13"/>
        <v>0</v>
      </c>
      <c r="Q41" s="165">
        <f t="shared" si="13"/>
        <v>0</v>
      </c>
      <c r="R41" s="165">
        <f t="shared" si="13"/>
        <v>0</v>
      </c>
      <c r="S41" s="165">
        <f t="shared" si="13"/>
        <v>0</v>
      </c>
      <c r="T41" s="165">
        <f t="shared" si="13"/>
        <v>0</v>
      </c>
      <c r="U41" s="165">
        <f t="shared" si="13"/>
        <v>0</v>
      </c>
      <c r="V41" s="165">
        <f t="shared" si="13"/>
        <v>0</v>
      </c>
      <c r="W41" s="165">
        <f t="shared" si="13"/>
        <v>0</v>
      </c>
      <c r="X41" s="165">
        <f t="shared" si="13"/>
        <v>0</v>
      </c>
      <c r="Y41" s="165">
        <f>COUNTIF(Y$9:Y$38,$B$41)/2</f>
        <v>0</v>
      </c>
      <c r="Z41" s="165">
        <f t="shared" si="13"/>
        <v>0</v>
      </c>
      <c r="AA41" s="165">
        <f t="shared" si="13"/>
        <v>0</v>
      </c>
      <c r="AB41" s="165">
        <f t="shared" si="13"/>
        <v>0</v>
      </c>
      <c r="AC41" s="165">
        <f t="shared" si="13"/>
        <v>0</v>
      </c>
      <c r="AD41" s="165">
        <f t="shared" si="13"/>
        <v>0</v>
      </c>
      <c r="AE41" s="165">
        <f t="shared" si="13"/>
        <v>0</v>
      </c>
      <c r="AF41" s="165">
        <f t="shared" si="13"/>
        <v>0</v>
      </c>
      <c r="AG41" s="165">
        <f t="shared" si="13"/>
        <v>0</v>
      </c>
      <c r="AH41" s="166">
        <f t="shared" si="13"/>
        <v>0</v>
      </c>
      <c r="AI41" s="167"/>
      <c r="AJ41" s="167"/>
      <c r="AK41" s="167"/>
      <c r="AL41" s="167"/>
      <c r="AM41" s="167"/>
      <c r="AN41" s="167"/>
      <c r="AO41" s="167"/>
      <c r="AP41" s="167"/>
      <c r="AQ41" s="167"/>
      <c r="AR41" s="168"/>
      <c r="AS41" s="109"/>
      <c r="AT41" s="109"/>
    </row>
    <row r="42" spans="1:46" ht="14.65" customHeight="1">
      <c r="A42" s="660"/>
      <c r="B42" s="163" t="s">
        <v>68</v>
      </c>
      <c r="C42" s="164"/>
      <c r="D42" s="165">
        <f>COUNTIF(D$9:D$38,$B$42)/2</f>
        <v>0</v>
      </c>
      <c r="E42" s="165">
        <f t="shared" ref="E42:AH42" si="14">COUNTIF(E$9:E$38,$B$42)/2</f>
        <v>0</v>
      </c>
      <c r="F42" s="165">
        <f t="shared" si="14"/>
        <v>0</v>
      </c>
      <c r="G42" s="165">
        <f t="shared" si="14"/>
        <v>0</v>
      </c>
      <c r="H42" s="165">
        <f t="shared" si="14"/>
        <v>0</v>
      </c>
      <c r="I42" s="165">
        <f t="shared" si="14"/>
        <v>0</v>
      </c>
      <c r="J42" s="165">
        <f t="shared" si="14"/>
        <v>0</v>
      </c>
      <c r="K42" s="165">
        <f t="shared" si="14"/>
        <v>0</v>
      </c>
      <c r="L42" s="165">
        <f t="shared" si="14"/>
        <v>0</v>
      </c>
      <c r="M42" s="165">
        <f t="shared" si="14"/>
        <v>0</v>
      </c>
      <c r="N42" s="165">
        <f t="shared" si="14"/>
        <v>0</v>
      </c>
      <c r="O42" s="165">
        <f t="shared" si="14"/>
        <v>0</v>
      </c>
      <c r="P42" s="165">
        <f t="shared" si="14"/>
        <v>0</v>
      </c>
      <c r="Q42" s="165">
        <f t="shared" si="14"/>
        <v>0</v>
      </c>
      <c r="R42" s="165">
        <f t="shared" si="14"/>
        <v>0</v>
      </c>
      <c r="S42" s="165">
        <f t="shared" si="14"/>
        <v>0</v>
      </c>
      <c r="T42" s="165">
        <f t="shared" si="14"/>
        <v>0</v>
      </c>
      <c r="U42" s="165">
        <f t="shared" si="14"/>
        <v>0</v>
      </c>
      <c r="V42" s="165">
        <f t="shared" si="14"/>
        <v>0</v>
      </c>
      <c r="W42" s="165">
        <f t="shared" si="14"/>
        <v>0</v>
      </c>
      <c r="X42" s="165">
        <f t="shared" si="14"/>
        <v>0</v>
      </c>
      <c r="Y42" s="165">
        <f>COUNTIF(Y$9:Y$38,$B$42)/2</f>
        <v>0</v>
      </c>
      <c r="Z42" s="165">
        <f t="shared" si="14"/>
        <v>0</v>
      </c>
      <c r="AA42" s="165">
        <f t="shared" si="14"/>
        <v>0</v>
      </c>
      <c r="AB42" s="165">
        <f t="shared" si="14"/>
        <v>0</v>
      </c>
      <c r="AC42" s="165">
        <f t="shared" si="14"/>
        <v>0</v>
      </c>
      <c r="AD42" s="165">
        <f t="shared" si="14"/>
        <v>0</v>
      </c>
      <c r="AE42" s="165">
        <f t="shared" si="14"/>
        <v>0</v>
      </c>
      <c r="AF42" s="165">
        <f t="shared" si="14"/>
        <v>0</v>
      </c>
      <c r="AG42" s="165">
        <f t="shared" si="14"/>
        <v>0</v>
      </c>
      <c r="AH42" s="166">
        <f t="shared" si="14"/>
        <v>0</v>
      </c>
      <c r="AI42" s="167"/>
      <c r="AJ42" s="167"/>
      <c r="AK42" s="167"/>
      <c r="AL42" s="167"/>
      <c r="AM42" s="167"/>
      <c r="AN42" s="167"/>
      <c r="AO42" s="167"/>
      <c r="AP42" s="167"/>
      <c r="AQ42" s="167"/>
      <c r="AR42" s="168"/>
      <c r="AS42" s="109"/>
      <c r="AT42" s="109"/>
    </row>
    <row r="43" spans="1:46" ht="14.65" customHeight="1">
      <c r="A43" s="660"/>
      <c r="B43" s="163" t="s">
        <v>69</v>
      </c>
      <c r="C43" s="164"/>
      <c r="D43" s="165">
        <f>COUNTIF(D$9:D$38,$B$43)/2</f>
        <v>0</v>
      </c>
      <c r="E43" s="165">
        <f t="shared" ref="E43:AH43" si="15">COUNTIF(E$9:E$38,$B$43)/2</f>
        <v>0</v>
      </c>
      <c r="F43" s="165">
        <f t="shared" si="15"/>
        <v>0</v>
      </c>
      <c r="G43" s="165">
        <f t="shared" si="15"/>
        <v>0</v>
      </c>
      <c r="H43" s="165">
        <f t="shared" si="15"/>
        <v>0</v>
      </c>
      <c r="I43" s="165">
        <f t="shared" si="15"/>
        <v>0</v>
      </c>
      <c r="J43" s="165">
        <f t="shared" si="15"/>
        <v>0</v>
      </c>
      <c r="K43" s="165">
        <f t="shared" si="15"/>
        <v>0</v>
      </c>
      <c r="L43" s="165">
        <f t="shared" si="15"/>
        <v>0</v>
      </c>
      <c r="M43" s="165">
        <f t="shared" si="15"/>
        <v>0</v>
      </c>
      <c r="N43" s="165">
        <f t="shared" si="15"/>
        <v>0</v>
      </c>
      <c r="O43" s="165">
        <f t="shared" si="15"/>
        <v>0</v>
      </c>
      <c r="P43" s="165">
        <f t="shared" si="15"/>
        <v>0</v>
      </c>
      <c r="Q43" s="165">
        <f t="shared" si="15"/>
        <v>0</v>
      </c>
      <c r="R43" s="165">
        <f t="shared" si="15"/>
        <v>0</v>
      </c>
      <c r="S43" s="165">
        <f t="shared" si="15"/>
        <v>0</v>
      </c>
      <c r="T43" s="165">
        <f t="shared" si="15"/>
        <v>0</v>
      </c>
      <c r="U43" s="165">
        <f t="shared" si="15"/>
        <v>0</v>
      </c>
      <c r="V43" s="165">
        <f t="shared" si="15"/>
        <v>0</v>
      </c>
      <c r="W43" s="165">
        <f t="shared" si="15"/>
        <v>0</v>
      </c>
      <c r="X43" s="165">
        <f t="shared" si="15"/>
        <v>0</v>
      </c>
      <c r="Y43" s="165">
        <f>COUNTIF(Y$9:Y$38,$B$43)/2</f>
        <v>0</v>
      </c>
      <c r="Z43" s="165">
        <f t="shared" si="15"/>
        <v>0</v>
      </c>
      <c r="AA43" s="165">
        <f t="shared" si="15"/>
        <v>0</v>
      </c>
      <c r="AB43" s="165">
        <f t="shared" si="15"/>
        <v>0</v>
      </c>
      <c r="AC43" s="165">
        <f t="shared" si="15"/>
        <v>0</v>
      </c>
      <c r="AD43" s="165">
        <f t="shared" si="15"/>
        <v>0</v>
      </c>
      <c r="AE43" s="165">
        <f t="shared" si="15"/>
        <v>0</v>
      </c>
      <c r="AF43" s="165">
        <f t="shared" si="15"/>
        <v>0</v>
      </c>
      <c r="AG43" s="165">
        <f t="shared" si="15"/>
        <v>0</v>
      </c>
      <c r="AH43" s="166">
        <f t="shared" si="15"/>
        <v>0</v>
      </c>
      <c r="AI43" s="167"/>
      <c r="AJ43" s="167"/>
      <c r="AK43" s="167"/>
      <c r="AL43" s="167"/>
      <c r="AM43" s="167"/>
      <c r="AN43" s="167"/>
      <c r="AO43" s="167"/>
      <c r="AP43" s="167"/>
      <c r="AQ43" s="167"/>
      <c r="AR43" s="168"/>
      <c r="AS43" s="109"/>
      <c r="AT43" s="109"/>
    </row>
    <row r="44" spans="1:46" ht="14.65" customHeight="1">
      <c r="A44" s="660"/>
      <c r="B44" s="163" t="s">
        <v>70</v>
      </c>
      <c r="C44" s="164"/>
      <c r="D44" s="165">
        <f>COUNTIF(D$9:D$38,$B$44)/2</f>
        <v>0</v>
      </c>
      <c r="E44" s="165">
        <f t="shared" ref="E44:AH44" si="16">COUNTIF(E$9:E$38,$B$44)/2</f>
        <v>0</v>
      </c>
      <c r="F44" s="165">
        <f t="shared" si="16"/>
        <v>0</v>
      </c>
      <c r="G44" s="165">
        <f t="shared" si="16"/>
        <v>0</v>
      </c>
      <c r="H44" s="165">
        <f t="shared" si="16"/>
        <v>0</v>
      </c>
      <c r="I44" s="165">
        <f t="shared" si="16"/>
        <v>0</v>
      </c>
      <c r="J44" s="165">
        <f t="shared" si="16"/>
        <v>0</v>
      </c>
      <c r="K44" s="165">
        <f t="shared" si="16"/>
        <v>0</v>
      </c>
      <c r="L44" s="165">
        <f t="shared" si="16"/>
        <v>0</v>
      </c>
      <c r="M44" s="165">
        <f t="shared" si="16"/>
        <v>0</v>
      </c>
      <c r="N44" s="165">
        <f t="shared" si="16"/>
        <v>0</v>
      </c>
      <c r="O44" s="165">
        <f t="shared" si="16"/>
        <v>0</v>
      </c>
      <c r="P44" s="165">
        <f t="shared" si="16"/>
        <v>0</v>
      </c>
      <c r="Q44" s="165">
        <f t="shared" si="16"/>
        <v>0</v>
      </c>
      <c r="R44" s="165">
        <f t="shared" si="16"/>
        <v>0</v>
      </c>
      <c r="S44" s="165">
        <f t="shared" si="16"/>
        <v>0</v>
      </c>
      <c r="T44" s="165">
        <f t="shared" si="16"/>
        <v>0</v>
      </c>
      <c r="U44" s="165">
        <f t="shared" si="16"/>
        <v>0</v>
      </c>
      <c r="V44" s="165">
        <f t="shared" si="16"/>
        <v>0</v>
      </c>
      <c r="W44" s="165">
        <f t="shared" si="16"/>
        <v>0</v>
      </c>
      <c r="X44" s="165">
        <f t="shared" si="16"/>
        <v>0</v>
      </c>
      <c r="Y44" s="165">
        <f>COUNTIF(Y$9:Y$38,$B$44)/2</f>
        <v>0</v>
      </c>
      <c r="Z44" s="165">
        <f t="shared" si="16"/>
        <v>0</v>
      </c>
      <c r="AA44" s="165">
        <f t="shared" si="16"/>
        <v>0</v>
      </c>
      <c r="AB44" s="165">
        <f t="shared" si="16"/>
        <v>0</v>
      </c>
      <c r="AC44" s="165">
        <f t="shared" si="16"/>
        <v>0</v>
      </c>
      <c r="AD44" s="165">
        <f t="shared" si="16"/>
        <v>0</v>
      </c>
      <c r="AE44" s="165">
        <f t="shared" si="16"/>
        <v>0</v>
      </c>
      <c r="AF44" s="165">
        <f t="shared" si="16"/>
        <v>0</v>
      </c>
      <c r="AG44" s="165">
        <f t="shared" si="16"/>
        <v>0</v>
      </c>
      <c r="AH44" s="166">
        <f t="shared" si="16"/>
        <v>0</v>
      </c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09"/>
      <c r="AT44" s="109"/>
    </row>
    <row r="45" spans="1:46" ht="14.65" customHeight="1">
      <c r="A45" s="660"/>
      <c r="B45" s="163" t="s">
        <v>71</v>
      </c>
      <c r="C45" s="164"/>
      <c r="D45" s="165">
        <f>COUNTIF(D$9:D$38,$B$45)/2</f>
        <v>0</v>
      </c>
      <c r="E45" s="165">
        <f t="shared" ref="E45:AH45" si="17">COUNTIF(E$9:E$38,$B$45)/2</f>
        <v>0</v>
      </c>
      <c r="F45" s="165">
        <f t="shared" si="17"/>
        <v>0</v>
      </c>
      <c r="G45" s="165">
        <f t="shared" si="17"/>
        <v>0</v>
      </c>
      <c r="H45" s="165">
        <f t="shared" si="17"/>
        <v>0</v>
      </c>
      <c r="I45" s="165">
        <f t="shared" si="17"/>
        <v>0</v>
      </c>
      <c r="J45" s="165">
        <f t="shared" si="17"/>
        <v>0</v>
      </c>
      <c r="K45" s="165">
        <f t="shared" si="17"/>
        <v>0</v>
      </c>
      <c r="L45" s="165">
        <f t="shared" si="17"/>
        <v>0</v>
      </c>
      <c r="M45" s="165">
        <f t="shared" si="17"/>
        <v>0</v>
      </c>
      <c r="N45" s="165">
        <f t="shared" si="17"/>
        <v>0</v>
      </c>
      <c r="O45" s="165">
        <f t="shared" si="17"/>
        <v>0</v>
      </c>
      <c r="P45" s="165">
        <f t="shared" si="17"/>
        <v>0</v>
      </c>
      <c r="Q45" s="165">
        <f t="shared" si="17"/>
        <v>0</v>
      </c>
      <c r="R45" s="165">
        <f t="shared" si="17"/>
        <v>0</v>
      </c>
      <c r="S45" s="165">
        <f t="shared" si="17"/>
        <v>0</v>
      </c>
      <c r="T45" s="165">
        <f t="shared" si="17"/>
        <v>0</v>
      </c>
      <c r="U45" s="165">
        <f t="shared" si="17"/>
        <v>0</v>
      </c>
      <c r="V45" s="165">
        <f t="shared" si="17"/>
        <v>0</v>
      </c>
      <c r="W45" s="165">
        <f t="shared" si="17"/>
        <v>0</v>
      </c>
      <c r="X45" s="165">
        <f t="shared" si="17"/>
        <v>0</v>
      </c>
      <c r="Y45" s="165">
        <f>COUNTIF(Y$9:Y$38,$B$45)/2</f>
        <v>0</v>
      </c>
      <c r="Z45" s="165">
        <f t="shared" si="17"/>
        <v>0</v>
      </c>
      <c r="AA45" s="165">
        <f t="shared" si="17"/>
        <v>0</v>
      </c>
      <c r="AB45" s="165">
        <f t="shared" si="17"/>
        <v>0</v>
      </c>
      <c r="AC45" s="165">
        <f t="shared" si="17"/>
        <v>0</v>
      </c>
      <c r="AD45" s="165">
        <f t="shared" si="17"/>
        <v>0</v>
      </c>
      <c r="AE45" s="165">
        <f t="shared" si="17"/>
        <v>0</v>
      </c>
      <c r="AF45" s="165">
        <f t="shared" si="17"/>
        <v>0</v>
      </c>
      <c r="AG45" s="165">
        <f t="shared" si="17"/>
        <v>0</v>
      </c>
      <c r="AH45" s="166">
        <f t="shared" si="17"/>
        <v>0</v>
      </c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09"/>
      <c r="AT45" s="109"/>
    </row>
    <row r="46" spans="1:46" ht="14.65" customHeight="1">
      <c r="A46" s="660"/>
      <c r="B46" s="163" t="s">
        <v>72</v>
      </c>
      <c r="C46" s="164"/>
      <c r="D46" s="165">
        <f>COUNTIF(D$9:D$38,$B$46)/2</f>
        <v>0</v>
      </c>
      <c r="E46" s="165">
        <f t="shared" ref="E46:AH46" si="18">COUNTIF(E$9:E$38,$B$46)/2</f>
        <v>0</v>
      </c>
      <c r="F46" s="165">
        <f t="shared" si="18"/>
        <v>0</v>
      </c>
      <c r="G46" s="165">
        <f t="shared" si="18"/>
        <v>0</v>
      </c>
      <c r="H46" s="165">
        <f t="shared" si="18"/>
        <v>0</v>
      </c>
      <c r="I46" s="165">
        <f t="shared" si="18"/>
        <v>0</v>
      </c>
      <c r="J46" s="165">
        <f t="shared" si="18"/>
        <v>0</v>
      </c>
      <c r="K46" s="165">
        <f t="shared" si="18"/>
        <v>0</v>
      </c>
      <c r="L46" s="165">
        <f t="shared" si="18"/>
        <v>0</v>
      </c>
      <c r="M46" s="165">
        <f t="shared" si="18"/>
        <v>0</v>
      </c>
      <c r="N46" s="165">
        <f t="shared" si="18"/>
        <v>0</v>
      </c>
      <c r="O46" s="165">
        <f t="shared" si="18"/>
        <v>0</v>
      </c>
      <c r="P46" s="165">
        <f t="shared" si="18"/>
        <v>0</v>
      </c>
      <c r="Q46" s="165">
        <f t="shared" si="18"/>
        <v>0</v>
      </c>
      <c r="R46" s="165">
        <f t="shared" si="18"/>
        <v>0</v>
      </c>
      <c r="S46" s="165">
        <f t="shared" si="18"/>
        <v>0</v>
      </c>
      <c r="T46" s="165">
        <f t="shared" si="18"/>
        <v>0</v>
      </c>
      <c r="U46" s="165">
        <f t="shared" si="18"/>
        <v>0</v>
      </c>
      <c r="V46" s="165">
        <f t="shared" si="18"/>
        <v>0</v>
      </c>
      <c r="W46" s="165">
        <f t="shared" si="18"/>
        <v>0</v>
      </c>
      <c r="X46" s="165">
        <f t="shared" si="18"/>
        <v>0</v>
      </c>
      <c r="Y46" s="165">
        <f>COUNTIF(Y$9:Y$38,$B$46)/2</f>
        <v>0</v>
      </c>
      <c r="Z46" s="165">
        <f t="shared" si="18"/>
        <v>0</v>
      </c>
      <c r="AA46" s="165">
        <f t="shared" si="18"/>
        <v>0</v>
      </c>
      <c r="AB46" s="165">
        <f t="shared" si="18"/>
        <v>0</v>
      </c>
      <c r="AC46" s="165">
        <f t="shared" si="18"/>
        <v>0</v>
      </c>
      <c r="AD46" s="165">
        <f t="shared" si="18"/>
        <v>0</v>
      </c>
      <c r="AE46" s="165">
        <f t="shared" si="18"/>
        <v>0</v>
      </c>
      <c r="AF46" s="165">
        <f t="shared" si="18"/>
        <v>0</v>
      </c>
      <c r="AG46" s="165">
        <f t="shared" si="18"/>
        <v>0</v>
      </c>
      <c r="AH46" s="166">
        <f t="shared" si="18"/>
        <v>0</v>
      </c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09"/>
      <c r="AT46" s="109"/>
    </row>
    <row r="47" spans="1:46" ht="14.65" customHeight="1">
      <c r="A47" s="660"/>
      <c r="B47" s="169" t="s">
        <v>73</v>
      </c>
      <c r="C47" s="170"/>
      <c r="D47" s="171">
        <f>COUNTIF(D$9:D$38,$B$47)/2</f>
        <v>0</v>
      </c>
      <c r="E47" s="171">
        <f t="shared" ref="E47:AH47" si="19">COUNTIF(E$9:E$38,$B$47)/2</f>
        <v>0</v>
      </c>
      <c r="F47" s="171">
        <f t="shared" si="19"/>
        <v>0</v>
      </c>
      <c r="G47" s="171">
        <f t="shared" si="19"/>
        <v>0</v>
      </c>
      <c r="H47" s="171">
        <f t="shared" si="19"/>
        <v>0</v>
      </c>
      <c r="I47" s="171">
        <f t="shared" si="19"/>
        <v>0</v>
      </c>
      <c r="J47" s="171">
        <f t="shared" si="19"/>
        <v>0</v>
      </c>
      <c r="K47" s="171">
        <f t="shared" si="19"/>
        <v>0</v>
      </c>
      <c r="L47" s="171">
        <f t="shared" si="19"/>
        <v>0</v>
      </c>
      <c r="M47" s="171">
        <f t="shared" si="19"/>
        <v>0</v>
      </c>
      <c r="N47" s="171">
        <f t="shared" si="19"/>
        <v>0</v>
      </c>
      <c r="O47" s="171">
        <f t="shared" si="19"/>
        <v>0</v>
      </c>
      <c r="P47" s="171">
        <f t="shared" si="19"/>
        <v>0</v>
      </c>
      <c r="Q47" s="171">
        <f t="shared" si="19"/>
        <v>0</v>
      </c>
      <c r="R47" s="171">
        <f t="shared" si="19"/>
        <v>0</v>
      </c>
      <c r="S47" s="171">
        <f t="shared" si="19"/>
        <v>0</v>
      </c>
      <c r="T47" s="171">
        <f t="shared" si="19"/>
        <v>0</v>
      </c>
      <c r="U47" s="171">
        <f t="shared" si="19"/>
        <v>0</v>
      </c>
      <c r="V47" s="171">
        <f t="shared" si="19"/>
        <v>0</v>
      </c>
      <c r="W47" s="171">
        <f t="shared" si="19"/>
        <v>0</v>
      </c>
      <c r="X47" s="171">
        <f t="shared" si="19"/>
        <v>0</v>
      </c>
      <c r="Y47" s="171">
        <f>COUNTIF(Y$9:Y$38,$B$47)/2</f>
        <v>0</v>
      </c>
      <c r="Z47" s="171">
        <f t="shared" si="19"/>
        <v>0</v>
      </c>
      <c r="AA47" s="171">
        <f t="shared" si="19"/>
        <v>0</v>
      </c>
      <c r="AB47" s="171">
        <f t="shared" si="19"/>
        <v>0</v>
      </c>
      <c r="AC47" s="171">
        <f t="shared" si="19"/>
        <v>0</v>
      </c>
      <c r="AD47" s="171">
        <f t="shared" si="19"/>
        <v>0</v>
      </c>
      <c r="AE47" s="171">
        <f t="shared" si="19"/>
        <v>0</v>
      </c>
      <c r="AF47" s="171">
        <f t="shared" si="19"/>
        <v>0</v>
      </c>
      <c r="AG47" s="171">
        <f t="shared" si="19"/>
        <v>0</v>
      </c>
      <c r="AH47" s="172">
        <f t="shared" si="19"/>
        <v>0</v>
      </c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09"/>
      <c r="AT47" s="109"/>
    </row>
    <row r="48" spans="1:46" ht="14.65" customHeight="1" thickBot="1">
      <c r="A48" s="660"/>
      <c r="B48" s="173" t="s">
        <v>74</v>
      </c>
      <c r="C48" s="170"/>
      <c r="D48" s="174">
        <f>COUNTIF(D$9:D$38,$B$48)/2</f>
        <v>0</v>
      </c>
      <c r="E48" s="174">
        <f t="shared" ref="E48:AH48" si="20">COUNTIF(E$9:E$38,$B$48)/2</f>
        <v>0</v>
      </c>
      <c r="F48" s="174">
        <f t="shared" si="20"/>
        <v>0</v>
      </c>
      <c r="G48" s="174">
        <f t="shared" si="20"/>
        <v>0</v>
      </c>
      <c r="H48" s="174">
        <f t="shared" si="20"/>
        <v>0</v>
      </c>
      <c r="I48" s="174">
        <f t="shared" si="20"/>
        <v>0</v>
      </c>
      <c r="J48" s="174">
        <f t="shared" si="20"/>
        <v>0</v>
      </c>
      <c r="K48" s="174">
        <f t="shared" si="20"/>
        <v>0</v>
      </c>
      <c r="L48" s="174">
        <f t="shared" si="20"/>
        <v>0</v>
      </c>
      <c r="M48" s="174">
        <f t="shared" si="20"/>
        <v>0</v>
      </c>
      <c r="N48" s="174">
        <f t="shared" si="20"/>
        <v>0</v>
      </c>
      <c r="O48" s="174">
        <f t="shared" si="20"/>
        <v>0</v>
      </c>
      <c r="P48" s="174">
        <f t="shared" si="20"/>
        <v>0</v>
      </c>
      <c r="Q48" s="174">
        <f t="shared" si="20"/>
        <v>0</v>
      </c>
      <c r="R48" s="174">
        <f t="shared" si="20"/>
        <v>0</v>
      </c>
      <c r="S48" s="174">
        <f t="shared" si="20"/>
        <v>0</v>
      </c>
      <c r="T48" s="174">
        <f t="shared" si="20"/>
        <v>0</v>
      </c>
      <c r="U48" s="174">
        <f t="shared" si="20"/>
        <v>0</v>
      </c>
      <c r="V48" s="174">
        <f t="shared" si="20"/>
        <v>0</v>
      </c>
      <c r="W48" s="174">
        <f t="shared" si="20"/>
        <v>0</v>
      </c>
      <c r="X48" s="174">
        <f t="shared" si="20"/>
        <v>0</v>
      </c>
      <c r="Y48" s="174">
        <f>COUNTIF(Y$9:Y$38,$B$48)/2</f>
        <v>0</v>
      </c>
      <c r="Z48" s="174">
        <f t="shared" si="20"/>
        <v>0</v>
      </c>
      <c r="AA48" s="174">
        <f t="shared" si="20"/>
        <v>0</v>
      </c>
      <c r="AB48" s="174">
        <f t="shared" si="20"/>
        <v>0</v>
      </c>
      <c r="AC48" s="174">
        <f t="shared" si="20"/>
        <v>0</v>
      </c>
      <c r="AD48" s="174">
        <f t="shared" si="20"/>
        <v>0</v>
      </c>
      <c r="AE48" s="174">
        <f t="shared" si="20"/>
        <v>0</v>
      </c>
      <c r="AF48" s="174">
        <f t="shared" si="20"/>
        <v>0</v>
      </c>
      <c r="AG48" s="174">
        <f t="shared" si="20"/>
        <v>0</v>
      </c>
      <c r="AH48" s="175">
        <f t="shared" si="20"/>
        <v>0</v>
      </c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09"/>
      <c r="AT48" s="109"/>
    </row>
    <row r="49" spans="1:46" ht="14.65" customHeight="1">
      <c r="A49" s="176" t="s">
        <v>84</v>
      </c>
      <c r="B49" s="661" t="s">
        <v>85</v>
      </c>
      <c r="C49" s="177"/>
      <c r="D49" s="663">
        <f>(D40+D48)/$A$50</f>
        <v>0</v>
      </c>
      <c r="E49" s="658">
        <f>(E40+E48)/$A$50</f>
        <v>0</v>
      </c>
      <c r="F49" s="658">
        <f t="shared" ref="F49:AH49" si="21">(F40+F48)/$A$50</f>
        <v>0</v>
      </c>
      <c r="G49" s="658">
        <f t="shared" si="21"/>
        <v>0</v>
      </c>
      <c r="H49" s="658">
        <f t="shared" si="21"/>
        <v>0</v>
      </c>
      <c r="I49" s="658">
        <f t="shared" si="21"/>
        <v>0</v>
      </c>
      <c r="J49" s="658">
        <f t="shared" si="21"/>
        <v>0</v>
      </c>
      <c r="K49" s="658">
        <f t="shared" si="21"/>
        <v>0</v>
      </c>
      <c r="L49" s="658">
        <f t="shared" si="21"/>
        <v>0</v>
      </c>
      <c r="M49" s="658">
        <f t="shared" si="21"/>
        <v>0</v>
      </c>
      <c r="N49" s="658">
        <f t="shared" si="21"/>
        <v>0</v>
      </c>
      <c r="O49" s="658">
        <f t="shared" si="21"/>
        <v>0</v>
      </c>
      <c r="P49" s="658">
        <f t="shared" si="21"/>
        <v>0</v>
      </c>
      <c r="Q49" s="658">
        <f t="shared" si="21"/>
        <v>0</v>
      </c>
      <c r="R49" s="658">
        <f t="shared" si="21"/>
        <v>0</v>
      </c>
      <c r="S49" s="658">
        <f t="shared" si="21"/>
        <v>0</v>
      </c>
      <c r="T49" s="658">
        <f t="shared" si="21"/>
        <v>0</v>
      </c>
      <c r="U49" s="658">
        <f t="shared" si="21"/>
        <v>0</v>
      </c>
      <c r="V49" s="658">
        <f t="shared" si="21"/>
        <v>0</v>
      </c>
      <c r="W49" s="658">
        <f t="shared" si="21"/>
        <v>0</v>
      </c>
      <c r="X49" s="658">
        <f t="shared" si="21"/>
        <v>0</v>
      </c>
      <c r="Y49" s="658">
        <f t="shared" si="21"/>
        <v>0</v>
      </c>
      <c r="Z49" s="658">
        <f t="shared" si="21"/>
        <v>0</v>
      </c>
      <c r="AA49" s="658">
        <f t="shared" si="21"/>
        <v>0</v>
      </c>
      <c r="AB49" s="658">
        <f t="shared" si="21"/>
        <v>0</v>
      </c>
      <c r="AC49" s="658">
        <f t="shared" si="21"/>
        <v>0</v>
      </c>
      <c r="AD49" s="658">
        <f t="shared" si="21"/>
        <v>0</v>
      </c>
      <c r="AE49" s="658">
        <f t="shared" si="21"/>
        <v>0</v>
      </c>
      <c r="AF49" s="658">
        <f t="shared" si="21"/>
        <v>0</v>
      </c>
      <c r="AG49" s="658">
        <f t="shared" si="21"/>
        <v>0</v>
      </c>
      <c r="AH49" s="655">
        <f t="shared" si="21"/>
        <v>0</v>
      </c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09"/>
      <c r="AT49" s="109"/>
    </row>
    <row r="50" spans="1:46" ht="21.75" customHeight="1" thickBot="1">
      <c r="A50" s="178">
        <f>COUNT(A9:A38)</f>
        <v>9</v>
      </c>
      <c r="B50" s="662"/>
      <c r="C50" s="179"/>
      <c r="D50" s="664"/>
      <c r="E50" s="659"/>
      <c r="F50" s="659"/>
      <c r="G50" s="659"/>
      <c r="H50" s="659"/>
      <c r="I50" s="659"/>
      <c r="J50" s="659"/>
      <c r="K50" s="659"/>
      <c r="L50" s="659"/>
      <c r="M50" s="659"/>
      <c r="N50" s="659"/>
      <c r="O50" s="659"/>
      <c r="P50" s="659"/>
      <c r="Q50" s="659"/>
      <c r="R50" s="659"/>
      <c r="S50" s="659"/>
      <c r="T50" s="659"/>
      <c r="U50" s="659"/>
      <c r="V50" s="659"/>
      <c r="W50" s="659"/>
      <c r="X50" s="659"/>
      <c r="Y50" s="659"/>
      <c r="Z50" s="659"/>
      <c r="AA50" s="659"/>
      <c r="AB50" s="659"/>
      <c r="AC50" s="659"/>
      <c r="AD50" s="659"/>
      <c r="AE50" s="659"/>
      <c r="AF50" s="659"/>
      <c r="AG50" s="659"/>
      <c r="AH50" s="656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09"/>
      <c r="AT50" s="109"/>
    </row>
    <row r="51" spans="1:46" ht="14.65" customHeight="1">
      <c r="A51" s="653" t="s">
        <v>86</v>
      </c>
      <c r="B51" s="653"/>
      <c r="C51" s="180"/>
      <c r="D51" s="657" t="s">
        <v>87</v>
      </c>
      <c r="E51" s="657"/>
      <c r="F51" s="657"/>
      <c r="G51" s="657" t="s">
        <v>88</v>
      </c>
      <c r="H51" s="657"/>
      <c r="I51" s="657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09"/>
      <c r="AT51" s="109"/>
    </row>
    <row r="52" spans="1:46" ht="14.65" customHeight="1">
      <c r="A52" s="653">
        <f>A50*AK4</f>
        <v>198</v>
      </c>
      <c r="B52" s="653"/>
      <c r="C52" s="180"/>
      <c r="D52" s="653">
        <f>SUM(D40:AH40,D48:AH48)</f>
        <v>0</v>
      </c>
      <c r="E52" s="653"/>
      <c r="F52" s="653"/>
      <c r="G52" s="654">
        <f>D52/A52</f>
        <v>0</v>
      </c>
      <c r="H52" s="654"/>
      <c r="I52" s="654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09"/>
      <c r="AT52" s="109"/>
    </row>
    <row r="53" spans="1:46" ht="14.65" customHeight="1">
      <c r="A53" s="181"/>
      <c r="B53" s="181"/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09"/>
      <c r="AT53" s="109"/>
    </row>
    <row r="54" spans="1:46" ht="14.65" customHeight="1"/>
    <row r="55" spans="1:46" ht="14.65" customHeight="1"/>
    <row r="56" spans="1:46" ht="14.65" customHeight="1"/>
    <row r="57" spans="1:46" ht="14.65" customHeight="1"/>
    <row r="58" spans="1:46" ht="14.65" customHeight="1"/>
    <row r="59" spans="1:46" ht="14.65" customHeight="1"/>
    <row r="60" spans="1:46" ht="14.65" customHeight="1"/>
    <row r="61" spans="1:46" ht="14.65" customHeight="1"/>
    <row r="62" spans="1:46" ht="14.65" customHeight="1"/>
    <row r="63" spans="1:46" ht="14.65" customHeight="1"/>
    <row r="64" spans="1:46" ht="14.65" customHeight="1"/>
    <row r="65" ht="14.65" customHeight="1"/>
    <row r="66" ht="14.65" customHeight="1"/>
    <row r="67" ht="14.65" customHeight="1"/>
    <row r="68" ht="14.65" customHeight="1"/>
    <row r="69" ht="14.65" customHeight="1"/>
    <row r="70" ht="14.65" customHeight="1"/>
    <row r="71" ht="14.65" customHeight="1"/>
    <row r="72" ht="14.65" customHeight="1"/>
    <row r="73" ht="14.65" customHeight="1"/>
    <row r="74" ht="14.65" customHeight="1"/>
    <row r="75" ht="14.65" customHeight="1"/>
    <row r="76" ht="14.65" customHeight="1"/>
    <row r="77" ht="14.65" customHeight="1"/>
    <row r="78" ht="14.65" customHeight="1"/>
  </sheetData>
  <mergeCells count="194">
    <mergeCell ref="D4:J4"/>
    <mergeCell ref="A6:A7"/>
    <mergeCell ref="B6:B7"/>
    <mergeCell ref="C6:C7"/>
    <mergeCell ref="AI6:AI7"/>
    <mergeCell ref="AJ6:AJ7"/>
    <mergeCell ref="AK6:AK7"/>
    <mergeCell ref="AL6:AL7"/>
    <mergeCell ref="AM6:AM7"/>
    <mergeCell ref="AN6:AN7"/>
    <mergeCell ref="AO6:AO7"/>
    <mergeCell ref="AP6:AP7"/>
    <mergeCell ref="AQ6:AQ7"/>
    <mergeCell ref="AR6:AR7"/>
    <mergeCell ref="A9:A10"/>
    <mergeCell ref="B9:B10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Q9:AQ10"/>
    <mergeCell ref="AR9:AR10"/>
    <mergeCell ref="AP11:AP12"/>
    <mergeCell ref="AQ11:AQ12"/>
    <mergeCell ref="AR11:AR12"/>
    <mergeCell ref="A13:A14"/>
    <mergeCell ref="B13:B14"/>
    <mergeCell ref="AI13:AI14"/>
    <mergeCell ref="AJ13:AJ14"/>
    <mergeCell ref="AK13:AK14"/>
    <mergeCell ref="AL13:AL14"/>
    <mergeCell ref="AM13:AM14"/>
    <mergeCell ref="AN13:AN14"/>
    <mergeCell ref="AO13:AO14"/>
    <mergeCell ref="AP13:AP14"/>
    <mergeCell ref="AQ13:AQ14"/>
    <mergeCell ref="AR13:AR14"/>
    <mergeCell ref="A11:A12"/>
    <mergeCell ref="B11:B12"/>
    <mergeCell ref="AI11:AI12"/>
    <mergeCell ref="AJ11:AJ12"/>
    <mergeCell ref="AK11:AK12"/>
    <mergeCell ref="AL11:AL12"/>
    <mergeCell ref="AM11:AM12"/>
    <mergeCell ref="AN11:AN12"/>
    <mergeCell ref="AO11:AO12"/>
    <mergeCell ref="AM17:AM18"/>
    <mergeCell ref="AN17:AN18"/>
    <mergeCell ref="AO17:AO18"/>
    <mergeCell ref="AU13:BA15"/>
    <mergeCell ref="A15:A16"/>
    <mergeCell ref="B15:B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Q15:AQ16"/>
    <mergeCell ref="AR15:AR16"/>
    <mergeCell ref="AM21:AM22"/>
    <mergeCell ref="AN21:AN22"/>
    <mergeCell ref="AO21:AO22"/>
    <mergeCell ref="AP17:AP18"/>
    <mergeCell ref="AQ17:AQ18"/>
    <mergeCell ref="AR17:AR18"/>
    <mergeCell ref="A19:A20"/>
    <mergeCell ref="B19:B20"/>
    <mergeCell ref="AI19:AI20"/>
    <mergeCell ref="AJ19:AJ20"/>
    <mergeCell ref="AK19:AK20"/>
    <mergeCell ref="AL19:AL20"/>
    <mergeCell ref="AM19:AM20"/>
    <mergeCell ref="AN19:AN20"/>
    <mergeCell ref="AO19:AO20"/>
    <mergeCell ref="AP19:AP20"/>
    <mergeCell ref="AQ19:AQ20"/>
    <mergeCell ref="AR19:AR20"/>
    <mergeCell ref="A17:A18"/>
    <mergeCell ref="B17:B18"/>
    <mergeCell ref="AI17:AI18"/>
    <mergeCell ref="AJ17:AJ18"/>
    <mergeCell ref="AK17:AK18"/>
    <mergeCell ref="AL17:AL18"/>
    <mergeCell ref="AM25:AM26"/>
    <mergeCell ref="AN25:AN26"/>
    <mergeCell ref="AO25:AO26"/>
    <mergeCell ref="AP21:AP22"/>
    <mergeCell ref="AQ21:AQ22"/>
    <mergeCell ref="AR21:AR22"/>
    <mergeCell ref="A23:A24"/>
    <mergeCell ref="B23:B24"/>
    <mergeCell ref="AI23:AI24"/>
    <mergeCell ref="AJ23:AJ24"/>
    <mergeCell ref="AK23:AK24"/>
    <mergeCell ref="AL23:AL24"/>
    <mergeCell ref="AM23:AM24"/>
    <mergeCell ref="AN23:AN24"/>
    <mergeCell ref="AO23:AO24"/>
    <mergeCell ref="AP23:AP24"/>
    <mergeCell ref="AQ23:AQ24"/>
    <mergeCell ref="AR23:AR24"/>
    <mergeCell ref="A21:A22"/>
    <mergeCell ref="B21:B22"/>
    <mergeCell ref="AI21:AI22"/>
    <mergeCell ref="AJ21:AJ22"/>
    <mergeCell ref="AK21:AK22"/>
    <mergeCell ref="AL21:AL22"/>
    <mergeCell ref="AR29:AR30"/>
    <mergeCell ref="A31:A32"/>
    <mergeCell ref="B31:B32"/>
    <mergeCell ref="AP25:AP26"/>
    <mergeCell ref="AQ25:AQ26"/>
    <mergeCell ref="AR25:AR26"/>
    <mergeCell ref="A27:A28"/>
    <mergeCell ref="B27:B28"/>
    <mergeCell ref="AI27:AI28"/>
    <mergeCell ref="AJ27:AJ28"/>
    <mergeCell ref="AK27:AK28"/>
    <mergeCell ref="AL27:AL28"/>
    <mergeCell ref="AM27:AM28"/>
    <mergeCell ref="AN27:AN28"/>
    <mergeCell ref="AO27:AO28"/>
    <mergeCell ref="AP27:AP28"/>
    <mergeCell ref="AQ27:AQ28"/>
    <mergeCell ref="AR27:AR28"/>
    <mergeCell ref="A25:A26"/>
    <mergeCell ref="B25:B26"/>
    <mergeCell ref="AI25:AI26"/>
    <mergeCell ref="AJ25:AJ26"/>
    <mergeCell ref="AK25:AK26"/>
    <mergeCell ref="AL25:AL26"/>
    <mergeCell ref="A33:A34"/>
    <mergeCell ref="B33:B34"/>
    <mergeCell ref="AN29:AN30"/>
    <mergeCell ref="AO29:AO30"/>
    <mergeCell ref="AP29:AP30"/>
    <mergeCell ref="AQ29:AQ30"/>
    <mergeCell ref="A35:A36"/>
    <mergeCell ref="B35:B36"/>
    <mergeCell ref="A37:A38"/>
    <mergeCell ref="B37:B38"/>
    <mergeCell ref="A29:A30"/>
    <mergeCell ref="B29:B30"/>
    <mergeCell ref="AI29:AI30"/>
    <mergeCell ref="AJ29:AJ30"/>
    <mergeCell ref="AK29:AK30"/>
    <mergeCell ref="AL29:AL30"/>
    <mergeCell ref="AM29:AM30"/>
    <mergeCell ref="N49:N50"/>
    <mergeCell ref="O49:O50"/>
    <mergeCell ref="P49:P50"/>
    <mergeCell ref="Q49:Q50"/>
    <mergeCell ref="R49:R50"/>
    <mergeCell ref="S49:S50"/>
    <mergeCell ref="A40:A48"/>
    <mergeCell ref="B49:B50"/>
    <mergeCell ref="D49:D50"/>
    <mergeCell ref="E49:E50"/>
    <mergeCell ref="F49:F50"/>
    <mergeCell ref="G49:G50"/>
    <mergeCell ref="H49:H50"/>
    <mergeCell ref="I49:I50"/>
    <mergeCell ref="J49:J50"/>
    <mergeCell ref="A52:B52"/>
    <mergeCell ref="D52:F52"/>
    <mergeCell ref="G52:I52"/>
    <mergeCell ref="AH49:AH50"/>
    <mergeCell ref="A51:B51"/>
    <mergeCell ref="D51:F51"/>
    <mergeCell ref="G51:I51"/>
    <mergeCell ref="AD49:AD50"/>
    <mergeCell ref="AE49:AE50"/>
    <mergeCell ref="AF49:AF50"/>
    <mergeCell ref="T49:T50"/>
    <mergeCell ref="U49:U50"/>
    <mergeCell ref="V49:V50"/>
    <mergeCell ref="W49:W50"/>
    <mergeCell ref="X49:X50"/>
    <mergeCell ref="Y49:Y50"/>
    <mergeCell ref="AG49:AG50"/>
    <mergeCell ref="Z49:Z50"/>
    <mergeCell ref="AA49:AA50"/>
    <mergeCell ref="AB49:AB50"/>
    <mergeCell ref="AC49:AC50"/>
    <mergeCell ref="K49:K50"/>
    <mergeCell ref="L49:L50"/>
    <mergeCell ref="M49:M50"/>
  </mergeCells>
  <phoneticPr fontId="3" type="noConversion"/>
  <conditionalFormatting sqref="N5 K4">
    <cfRule type="cellIs" dxfId="5" priority="1" stopIfTrue="1" operator="between">
      <formula>"星期六"</formula>
      <formula>"星期日"</formula>
    </cfRule>
  </conditionalFormatting>
  <conditionalFormatting sqref="D7:AH7">
    <cfRule type="cellIs" dxfId="4" priority="2" stopIfTrue="1" operator="equal">
      <formula>"日"</formula>
    </cfRule>
    <cfRule type="cellIs" dxfId="3" priority="3" stopIfTrue="1" operator="equal">
      <formula>"六"</formula>
    </cfRule>
  </conditionalFormatting>
  <conditionalFormatting sqref="D9:AH38">
    <cfRule type="cellIs" dxfId="2" priority="4" stopIfTrue="1" operator="equal">
      <formula>"事假"</formula>
    </cfRule>
    <cfRule type="cellIs" dxfId="1" priority="5" stopIfTrue="1" operator="equal">
      <formula>"病假"</formula>
    </cfRule>
    <cfRule type="cellIs" dxfId="0" priority="6" stopIfTrue="1" operator="equal">
      <formula>"倒休"</formula>
    </cfRule>
  </conditionalFormatting>
  <dataValidations count="1">
    <dataValidation type="list" allowBlank="1" showInputMessage="1" showErrorMessage="1" sqref="D8:AH39 D53:I65536 D1:AH5 J51:AH65536">
      <formula1>"出勤,病假,事假,婚假,丧假,年假,生育,倒休,加班"</formula1>
    </dataValidation>
  </dataValidations>
  <pageMargins left="0.75" right="0.75" top="1" bottom="1" header="0.5" footer="0.5"/>
  <pageSetup paperSize="9"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60"/>
  <sheetViews>
    <sheetView workbookViewId="0">
      <selection activeCell="F30" sqref="F30"/>
    </sheetView>
  </sheetViews>
  <sheetFormatPr defaultColWidth="9" defaultRowHeight="12.5"/>
  <cols>
    <col min="1" max="1" width="0.75" style="183" customWidth="1"/>
    <col min="2" max="2" width="2.08203125" style="183" customWidth="1"/>
    <col min="3" max="3" width="15.08203125" style="183" customWidth="1"/>
    <col min="4" max="4" width="17.08203125" style="183" customWidth="1"/>
    <col min="5" max="5" width="13.75" style="183" customWidth="1"/>
    <col min="6" max="6" width="17.08203125" style="183" customWidth="1"/>
    <col min="7" max="7" width="15.25" style="183" customWidth="1"/>
    <col min="8" max="8" width="17.08203125" style="183" customWidth="1"/>
    <col min="9" max="9" width="2.25" style="183" customWidth="1"/>
    <col min="10" max="16384" width="9" style="183"/>
  </cols>
  <sheetData>
    <row r="1" spans="2:9" ht="6.75" customHeight="1" thickBot="1"/>
    <row r="2" spans="2:9" s="184" customFormat="1" ht="30" customHeight="1" thickTop="1">
      <c r="B2" s="185"/>
      <c r="C2" s="186" t="s">
        <v>1012</v>
      </c>
      <c r="D2" s="187"/>
      <c r="E2" s="187"/>
      <c r="F2" s="187"/>
      <c r="G2" s="187"/>
      <c r="H2" s="187"/>
      <c r="I2" s="188"/>
    </row>
    <row r="3" spans="2:9" s="189" customFormat="1" ht="21" customHeight="1">
      <c r="B3" s="190"/>
      <c r="C3" s="191" t="s">
        <v>89</v>
      </c>
      <c r="D3" s="192" t="str">
        <f>工资计算!$AS$1</f>
        <v>2017年9月份</v>
      </c>
      <c r="E3" s="193" t="s">
        <v>90</v>
      </c>
      <c r="F3" s="194">
        <f>VLOOKUP(H3,工资计算!$B$3:$BO$40,6,FALSE)</f>
        <v>1</v>
      </c>
      <c r="G3" s="195" t="s">
        <v>91</v>
      </c>
      <c r="H3" s="196" t="s">
        <v>407</v>
      </c>
      <c r="I3" s="197"/>
    </row>
    <row r="4" spans="2:9" s="189" customFormat="1" ht="5.25" customHeight="1">
      <c r="B4" s="190"/>
      <c r="C4" s="198"/>
      <c r="D4" s="199"/>
      <c r="E4" s="198"/>
      <c r="F4" s="200"/>
      <c r="G4" s="201"/>
      <c r="H4" s="201"/>
      <c r="I4" s="197"/>
    </row>
    <row r="5" spans="2:9" s="202" customFormat="1" ht="16.149999999999999" customHeight="1">
      <c r="B5" s="203"/>
      <c r="C5" s="204" t="s">
        <v>92</v>
      </c>
      <c r="D5" s="205">
        <f>VLOOKUP(H3,工资计算!$B$3:$BO$40,7,FALSE)</f>
        <v>1</v>
      </c>
      <c r="E5" s="206" t="s">
        <v>93</v>
      </c>
      <c r="F5" s="205">
        <f>VLOOKUP($H$3,工资计算!$B$3:$BO$40,14,FALSE)</f>
        <v>0</v>
      </c>
      <c r="G5" s="207" t="s">
        <v>94</v>
      </c>
      <c r="H5" s="208">
        <f>VLOOKUP($H$3,工资计算!$B$3:$BO$40,22,FALSE)</f>
        <v>0</v>
      </c>
      <c r="I5" s="209"/>
    </row>
    <row r="6" spans="2:9" s="202" customFormat="1" ht="16.149999999999999" customHeight="1">
      <c r="B6" s="203"/>
      <c r="C6" s="210" t="s">
        <v>95</v>
      </c>
      <c r="D6" s="211" t="str">
        <f>VLOOKUP(H3,工资计算!$B$3:$BO$40,8,FALSE)</f>
        <v>ABC</v>
      </c>
      <c r="E6" s="212" t="s">
        <v>96</v>
      </c>
      <c r="F6" s="213">
        <f>VLOOKUP($H$3,工资计算!$B$3:$BO$40,16,FALSE)</f>
        <v>0</v>
      </c>
      <c r="G6" s="212" t="s">
        <v>97</v>
      </c>
      <c r="H6" s="214">
        <f>VLOOKUP($H$3,工资计算!$B$3:$BO$40,23,FALSE)</f>
        <v>3560.8</v>
      </c>
      <c r="I6" s="209"/>
    </row>
    <row r="7" spans="2:9" s="202" customFormat="1" ht="16.149999999999999" customHeight="1">
      <c r="B7" s="203"/>
      <c r="C7" s="210" t="s">
        <v>98</v>
      </c>
      <c r="D7" s="211" t="str">
        <f>VLOOKUP(H3,工资计算!$B$3:$BO$40,9,FALSE)</f>
        <v>上海市--城镇户口、本地农户</v>
      </c>
      <c r="E7" s="212" t="s">
        <v>99</v>
      </c>
      <c r="F7" s="213">
        <f>VLOOKUP($H$3,工资计算!$B$3:$BO$40,17,FALSE)</f>
        <v>0</v>
      </c>
      <c r="G7" s="212" t="s">
        <v>100</v>
      </c>
      <c r="H7" s="214">
        <f>VLOOKUP($H$3,工资计算!$B$3:$BO$40,24,FALSE)</f>
        <v>4292</v>
      </c>
      <c r="I7" s="209"/>
    </row>
    <row r="8" spans="2:9" s="202" customFormat="1" ht="16.149999999999999" customHeight="1">
      <c r="B8" s="203"/>
      <c r="C8" s="210" t="s">
        <v>101</v>
      </c>
      <c r="D8" s="211">
        <f>VLOOKUP(H3,工资计算!$B$3:$BO$40,10,FALSE)</f>
        <v>300</v>
      </c>
      <c r="E8" s="212" t="s">
        <v>102</v>
      </c>
      <c r="F8" s="213">
        <f>VLOOKUP($H$3,工资计算!$B$3:$BO$40,18,FALSE)</f>
        <v>0</v>
      </c>
      <c r="G8" s="212" t="s">
        <v>103</v>
      </c>
      <c r="H8" s="214">
        <f>VLOOKUP($H$3,工资计算!$B$3:$BO$40,25,FALSE)</f>
        <v>343.4</v>
      </c>
      <c r="I8" s="209"/>
    </row>
    <row r="9" spans="2:9" s="202" customFormat="1" ht="16.149999999999999" customHeight="1">
      <c r="B9" s="203"/>
      <c r="C9" s="210" t="s">
        <v>104</v>
      </c>
      <c r="D9" s="211">
        <f>VLOOKUP(H3,工资计算!$B$3:$BO$40,11,FALSE)</f>
        <v>0</v>
      </c>
      <c r="E9" s="215" t="s">
        <v>105</v>
      </c>
      <c r="F9" s="213">
        <f>VLOOKUP($H$3,工资计算!$B$3:$BO$40,19,FALSE)</f>
        <v>0</v>
      </c>
      <c r="G9" s="212" t="s">
        <v>106</v>
      </c>
      <c r="H9" s="214">
        <f>VLOOKUP($H$3,工资计算!$B$3:$BO$40,26,FALSE)</f>
        <v>21.5</v>
      </c>
      <c r="I9" s="216"/>
    </row>
    <row r="10" spans="2:9" s="202" customFormat="1" ht="16.149999999999999" customHeight="1">
      <c r="B10" s="203"/>
      <c r="C10" s="210" t="s">
        <v>107</v>
      </c>
      <c r="D10" s="211">
        <f>VLOOKUP(H3,工资计算!$B$3:$BO$40,12,FALSE)</f>
        <v>0</v>
      </c>
      <c r="E10" s="212" t="s">
        <v>108</v>
      </c>
      <c r="F10" s="213">
        <f>VLOOKUP($H$3,工资计算!$B$3:$BO$40,20,FALSE)</f>
        <v>0</v>
      </c>
      <c r="G10" s="215"/>
      <c r="H10" s="217"/>
      <c r="I10" s="216"/>
    </row>
    <row r="11" spans="2:9" s="202" customFormat="1" ht="16.149999999999999" customHeight="1">
      <c r="B11" s="203"/>
      <c r="C11" s="218" t="s">
        <v>109</v>
      </c>
      <c r="D11" s="219">
        <f>VLOOKUP(H3,工资计算!$B$3:$BO$40,13,FALSE)</f>
        <v>0</v>
      </c>
      <c r="E11" s="220" t="s">
        <v>110</v>
      </c>
      <c r="F11" s="221">
        <f>VLOOKUP(H3,工资计算!$B$3:$BO$40,21,FALSE)</f>
        <v>0</v>
      </c>
      <c r="G11" s="222" t="s">
        <v>111</v>
      </c>
      <c r="H11" s="223">
        <f>VLOOKUP($H$3,工资计算!$B$3:$BO$40,27,FALSE)</f>
        <v>85.9</v>
      </c>
      <c r="I11" s="216"/>
    </row>
    <row r="12" spans="2:9" s="189" customFormat="1" ht="3" customHeight="1">
      <c r="B12" s="190"/>
      <c r="C12" s="198"/>
      <c r="D12" s="199"/>
      <c r="E12" s="198"/>
      <c r="F12" s="200"/>
      <c r="G12" s="201"/>
      <c r="H12" s="201"/>
      <c r="I12" s="197"/>
    </row>
    <row r="13" spans="2:9" s="202" customFormat="1" ht="30" customHeight="1">
      <c r="B13" s="203"/>
      <c r="C13" s="224" t="str">
        <f>"  以上计算无误，收到现金"&amp;H13&amp;"元。"</f>
        <v xml:space="preserve">  以上计算无误，收到现金21.5元。</v>
      </c>
      <c r="D13" s="225" t="s">
        <v>112</v>
      </c>
      <c r="E13" s="226"/>
      <c r="F13" s="227"/>
      <c r="G13" s="228" t="s">
        <v>113</v>
      </c>
      <c r="H13" s="229">
        <f>VLOOKUP($H$3,工资计算!$B$3:$BO$40,30,FALSE)</f>
        <v>21.5</v>
      </c>
      <c r="I13" s="216"/>
    </row>
    <row r="14" spans="2:9" ht="13.5" thickBot="1">
      <c r="B14" s="230"/>
      <c r="C14" s="231"/>
      <c r="D14" s="232"/>
      <c r="E14" s="231"/>
      <c r="F14" s="232"/>
      <c r="G14" s="231"/>
      <c r="H14" s="232"/>
      <c r="I14" s="233"/>
    </row>
    <row r="15" spans="2:9" ht="10.15" customHeight="1" thickTop="1" thickBot="1"/>
    <row r="16" spans="2:9" s="234" customFormat="1" ht="30" customHeight="1" thickTop="1">
      <c r="B16" s="235"/>
      <c r="C16" s="186" t="s">
        <v>114</v>
      </c>
      <c r="D16" s="187"/>
      <c r="E16" s="187"/>
      <c r="F16" s="187"/>
      <c r="G16" s="187"/>
      <c r="H16" s="187"/>
      <c r="I16" s="236"/>
    </row>
    <row r="17" spans="2:9" s="202" customFormat="1" ht="21" customHeight="1">
      <c r="B17" s="203"/>
      <c r="C17" s="191" t="s">
        <v>115</v>
      </c>
      <c r="D17" s="192" t="str">
        <f>工资计算!$AS$1</f>
        <v>2017年9月份</v>
      </c>
      <c r="E17" s="193" t="s">
        <v>90</v>
      </c>
      <c r="F17" s="194">
        <f>VLOOKUP(H17,工资计算!$B$3:$BO$40,6,FALSE)</f>
        <v>1</v>
      </c>
      <c r="G17" s="195" t="s">
        <v>91</v>
      </c>
      <c r="H17" s="196" t="s">
        <v>116</v>
      </c>
      <c r="I17" s="209"/>
    </row>
    <row r="18" spans="2:9" s="189" customFormat="1" ht="5.25" customHeight="1">
      <c r="B18" s="190"/>
      <c r="C18" s="198"/>
      <c r="D18" s="199"/>
      <c r="E18" s="198"/>
      <c r="F18" s="200"/>
      <c r="G18" s="201"/>
      <c r="H18" s="201"/>
      <c r="I18" s="197"/>
    </row>
    <row r="19" spans="2:9" s="189" customFormat="1" ht="16.149999999999999" customHeight="1">
      <c r="B19" s="190"/>
      <c r="C19" s="204" t="s">
        <v>92</v>
      </c>
      <c r="D19" s="205">
        <f>VLOOKUP(H17,工资计算!$B$3:$BO$40,7,FALSE)</f>
        <v>1</v>
      </c>
      <c r="E19" s="206" t="s">
        <v>117</v>
      </c>
      <c r="F19" s="205">
        <f>VLOOKUP($H$17,工资计算!$B$3:$BO$40,14,FALSE)</f>
        <v>0</v>
      </c>
      <c r="G19" s="207" t="s">
        <v>94</v>
      </c>
      <c r="H19" s="208">
        <f>VLOOKUP($H$17,工资计算!$B$3:$BO$40,22,FALSE)</f>
        <v>0</v>
      </c>
      <c r="I19" s="197"/>
    </row>
    <row r="20" spans="2:9" s="189" customFormat="1" ht="16.149999999999999" customHeight="1">
      <c r="B20" s="190"/>
      <c r="C20" s="210" t="s">
        <v>95</v>
      </c>
      <c r="D20" s="211" t="str">
        <f>VLOOKUP(H17,工资计算!$B$3:$BO$40,8,FALSE)</f>
        <v>CBD</v>
      </c>
      <c r="E20" s="212" t="s">
        <v>118</v>
      </c>
      <c r="F20" s="213">
        <f>VLOOKUP($H$17,工资计算!$B$3:$BO$40,16,FALSE)</f>
        <v>0</v>
      </c>
      <c r="G20" s="212" t="s">
        <v>97</v>
      </c>
      <c r="H20" s="214">
        <f>VLOOKUP($H$17,工资计算!$B$3:$BO$40,23,FALSE)</f>
        <v>3040.8</v>
      </c>
      <c r="I20" s="197"/>
    </row>
    <row r="21" spans="2:9" s="189" customFormat="1" ht="16.149999999999999" customHeight="1">
      <c r="B21" s="190"/>
      <c r="C21" s="210" t="s">
        <v>119</v>
      </c>
      <c r="D21" s="211" t="str">
        <f>VLOOKUP(H17,工资计算!$B$3:$BO$40,9,FALSE)</f>
        <v>上海市--城镇户口、本地农户</v>
      </c>
      <c r="E21" s="212" t="s">
        <v>120</v>
      </c>
      <c r="F21" s="213">
        <f>VLOOKUP($H$17,工资计算!$B$3:$BO$40,17,FALSE)</f>
        <v>0</v>
      </c>
      <c r="G21" s="212" t="s">
        <v>100</v>
      </c>
      <c r="H21" s="214">
        <f>VLOOKUP($H$17,工资计算!$B$3:$BO$40,24,FALSE)</f>
        <v>4292</v>
      </c>
      <c r="I21" s="197"/>
    </row>
    <row r="22" spans="2:9" s="189" customFormat="1" ht="16.149999999999999" customHeight="1">
      <c r="B22" s="190"/>
      <c r="C22" s="210" t="s">
        <v>121</v>
      </c>
      <c r="D22" s="211">
        <f>VLOOKUP(H17,工资计算!$B$3:$BO$40,10,FALSE)</f>
        <v>1000</v>
      </c>
      <c r="E22" s="212" t="s">
        <v>122</v>
      </c>
      <c r="F22" s="213">
        <f>VLOOKUP($H$17,工资计算!$B$3:$BO$40,18,FALSE)</f>
        <v>0</v>
      </c>
      <c r="G22" s="212" t="s">
        <v>103</v>
      </c>
      <c r="H22" s="214">
        <f>VLOOKUP($H$17,工资计算!$B$3:$BO$40,25,FALSE)</f>
        <v>343.4</v>
      </c>
      <c r="I22" s="197"/>
    </row>
    <row r="23" spans="2:9" s="189" customFormat="1" ht="16.149999999999999" customHeight="1">
      <c r="B23" s="190"/>
      <c r="C23" s="210" t="s">
        <v>123</v>
      </c>
      <c r="D23" s="211">
        <f>VLOOKUP(H17,工资计算!$B$3:$BO$40,11,FALSE)</f>
        <v>0</v>
      </c>
      <c r="E23" s="215" t="s">
        <v>124</v>
      </c>
      <c r="F23" s="213">
        <f>VLOOKUP($H$17,工资计算!$B$3:$BO$40,19,FALSE)</f>
        <v>0</v>
      </c>
      <c r="G23" s="212" t="s">
        <v>106</v>
      </c>
      <c r="H23" s="214">
        <f>VLOOKUP($H$17,工资计算!$B$3:$BO$40,26,FALSE)</f>
        <v>21.5</v>
      </c>
      <c r="I23" s="237"/>
    </row>
    <row r="24" spans="2:9" s="189" customFormat="1" ht="16.149999999999999" customHeight="1">
      <c r="B24" s="190"/>
      <c r="C24" s="210" t="s">
        <v>125</v>
      </c>
      <c r="D24" s="211">
        <f>VLOOKUP(H17,工资计算!$B$3:$BO$40,12,FALSE)</f>
        <v>0</v>
      </c>
      <c r="E24" s="212" t="s">
        <v>126</v>
      </c>
      <c r="F24" s="213">
        <f>VLOOKUP($H$17,工资计算!$B$3:$BO$40,20,FALSE)</f>
        <v>0</v>
      </c>
      <c r="G24" s="215"/>
      <c r="H24" s="217"/>
      <c r="I24" s="237"/>
    </row>
    <row r="25" spans="2:9" s="189" customFormat="1" ht="16.149999999999999" customHeight="1">
      <c r="B25" s="190"/>
      <c r="C25" s="218" t="s">
        <v>127</v>
      </c>
      <c r="D25" s="219">
        <f>VLOOKUP(H17,工资计算!$B$3:$BO$40,13,FALSE)</f>
        <v>0</v>
      </c>
      <c r="E25" s="220" t="s">
        <v>110</v>
      </c>
      <c r="F25" s="221">
        <f>VLOOKUP(H17,工资计算!$B$3:$BO$40,21,FALSE)</f>
        <v>0</v>
      </c>
      <c r="G25" s="222" t="s">
        <v>128</v>
      </c>
      <c r="H25" s="223">
        <f>VLOOKUP($H$17,工资计算!$B$3:$BO$40,27,FALSE)</f>
        <v>85.9</v>
      </c>
      <c r="I25" s="237"/>
    </row>
    <row r="26" spans="2:9" s="189" customFormat="1" ht="3" customHeight="1">
      <c r="B26" s="190"/>
      <c r="C26" s="198"/>
      <c r="D26" s="199"/>
      <c r="E26" s="198"/>
      <c r="F26" s="200"/>
      <c r="G26" s="201"/>
      <c r="H26" s="201"/>
      <c r="I26" s="197"/>
    </row>
    <row r="27" spans="2:9" s="189" customFormat="1" ht="30" customHeight="1">
      <c r="B27" s="190"/>
      <c r="C27" s="224" t="str">
        <f>"  以上计算无误，收到现金"&amp;H27&amp;"元。"</f>
        <v xml:space="preserve">  以上计算无误，收到现金21.5元。</v>
      </c>
      <c r="D27" s="225" t="s">
        <v>129</v>
      </c>
      <c r="E27" s="226"/>
      <c r="F27" s="227"/>
      <c r="G27" s="238" t="s">
        <v>113</v>
      </c>
      <c r="H27" s="229">
        <f>VLOOKUP($H$17,工资计算!$B$3:$BO$40,30,FALSE)</f>
        <v>21.5</v>
      </c>
      <c r="I27" s="237"/>
    </row>
    <row r="28" spans="2:9" ht="13.5" thickBot="1">
      <c r="B28" s="230"/>
      <c r="C28" s="231"/>
      <c r="D28" s="232"/>
      <c r="E28" s="231"/>
      <c r="F28" s="232"/>
      <c r="G28" s="231"/>
      <c r="H28" s="239"/>
      <c r="I28" s="233"/>
    </row>
    <row r="29" spans="2:9" ht="10.15" customHeight="1" thickTop="1" thickBot="1"/>
    <row r="30" spans="2:9" s="234" customFormat="1" ht="30" customHeight="1" thickTop="1">
      <c r="B30" s="235"/>
      <c r="C30" s="186" t="s">
        <v>130</v>
      </c>
      <c r="D30" s="187"/>
      <c r="E30" s="187"/>
      <c r="F30" s="187"/>
      <c r="G30" s="187"/>
      <c r="H30" s="187"/>
      <c r="I30" s="236"/>
    </row>
    <row r="31" spans="2:9" s="189" customFormat="1" ht="21" customHeight="1">
      <c r="B31" s="190"/>
      <c r="C31" s="191" t="s">
        <v>131</v>
      </c>
      <c r="D31" s="192" t="str">
        <f>工资计算!$AS$1</f>
        <v>2017年9月份</v>
      </c>
      <c r="E31" s="193" t="s">
        <v>90</v>
      </c>
      <c r="F31" s="194" t="e">
        <f>VLOOKUP(H31,工资计算!$B$3:$BO$40,6,FALSE)</f>
        <v>#N/A</v>
      </c>
      <c r="G31" s="195" t="s">
        <v>91</v>
      </c>
      <c r="H31" s="196" t="s">
        <v>132</v>
      </c>
      <c r="I31" s="197"/>
    </row>
    <row r="32" spans="2:9" s="189" customFormat="1" ht="5.25" customHeight="1">
      <c r="B32" s="190"/>
      <c r="C32" s="198"/>
      <c r="D32" s="199"/>
      <c r="E32" s="198"/>
      <c r="F32" s="200"/>
      <c r="G32" s="201"/>
      <c r="H32" s="201"/>
      <c r="I32" s="197"/>
    </row>
    <row r="33" spans="2:9" s="189" customFormat="1" ht="16.149999999999999" customHeight="1">
      <c r="B33" s="190"/>
      <c r="C33" s="204" t="s">
        <v>92</v>
      </c>
      <c r="D33" s="205" t="e">
        <f>VLOOKUP(H31,工资计算!$B$3:$BO$40,7,FALSE)</f>
        <v>#N/A</v>
      </c>
      <c r="E33" s="206" t="s">
        <v>133</v>
      </c>
      <c r="F33" s="205" t="e">
        <f>VLOOKUP($H$31,工资计算!$B$3:$BO$40,14,FALSE)</f>
        <v>#N/A</v>
      </c>
      <c r="G33" s="207" t="s">
        <v>94</v>
      </c>
      <c r="H33" s="208" t="e">
        <f>VLOOKUP($H$31,工资计算!$B$3:$BO$40,22,FALSE)</f>
        <v>#N/A</v>
      </c>
      <c r="I33" s="197"/>
    </row>
    <row r="34" spans="2:9" s="189" customFormat="1" ht="16.149999999999999" customHeight="1">
      <c r="B34" s="190"/>
      <c r="C34" s="210" t="s">
        <v>95</v>
      </c>
      <c r="D34" s="211" t="e">
        <f>VLOOKUP(H31,工资计算!$B$3:$BO$40,8,FALSE)</f>
        <v>#N/A</v>
      </c>
      <c r="E34" s="212" t="s">
        <v>134</v>
      </c>
      <c r="F34" s="213" t="e">
        <f>VLOOKUP($H$31,工资计算!$B$3:$BO$40,16,FALSE)</f>
        <v>#N/A</v>
      </c>
      <c r="G34" s="212" t="s">
        <v>97</v>
      </c>
      <c r="H34" s="214" t="e">
        <f>VLOOKUP($H$31,工资计算!$B$3:$BO$40,23,FALSE)</f>
        <v>#N/A</v>
      </c>
      <c r="I34" s="197"/>
    </row>
    <row r="35" spans="2:9" s="189" customFormat="1" ht="16.149999999999999" customHeight="1">
      <c r="B35" s="190"/>
      <c r="C35" s="210" t="s">
        <v>135</v>
      </c>
      <c r="D35" s="211" t="e">
        <f>VLOOKUP(H31,工资计算!$B$3:$BO$40,9,FALSE)</f>
        <v>#N/A</v>
      </c>
      <c r="E35" s="212" t="s">
        <v>136</v>
      </c>
      <c r="F35" s="213" t="e">
        <f>VLOOKUP($H$31,工资计算!$B$3:$BO$40,17,FALSE)</f>
        <v>#N/A</v>
      </c>
      <c r="G35" s="212" t="s">
        <v>100</v>
      </c>
      <c r="H35" s="214" t="e">
        <f>VLOOKUP($H$31,工资计算!$B$3:$BO$40,24,FALSE)</f>
        <v>#N/A</v>
      </c>
      <c r="I35" s="197"/>
    </row>
    <row r="36" spans="2:9" s="189" customFormat="1" ht="16.149999999999999" customHeight="1">
      <c r="B36" s="190"/>
      <c r="C36" s="210" t="s">
        <v>137</v>
      </c>
      <c r="D36" s="211" t="e">
        <f>VLOOKUP(H31,工资计算!$B$3:$BO$40,10,FALSE)</f>
        <v>#N/A</v>
      </c>
      <c r="E36" s="212" t="s">
        <v>138</v>
      </c>
      <c r="F36" s="213" t="e">
        <f>VLOOKUP($H$31,工资计算!$B$3:$BO$40,18,FALSE)</f>
        <v>#N/A</v>
      </c>
      <c r="G36" s="212" t="s">
        <v>103</v>
      </c>
      <c r="H36" s="214" t="e">
        <f>VLOOKUP($H$31,工资计算!$B$3:$BO$40,25,FALSE)</f>
        <v>#N/A</v>
      </c>
      <c r="I36" s="197"/>
    </row>
    <row r="37" spans="2:9" s="189" customFormat="1" ht="16.149999999999999" customHeight="1">
      <c r="B37" s="190"/>
      <c r="C37" s="210" t="s">
        <v>139</v>
      </c>
      <c r="D37" s="211" t="e">
        <f>VLOOKUP(H31,工资计算!$B$3:$BO$40,11,FALSE)</f>
        <v>#N/A</v>
      </c>
      <c r="E37" s="215" t="s">
        <v>140</v>
      </c>
      <c r="F37" s="213" t="e">
        <f>VLOOKUP($H$31,工资计算!$B$3:$BO$40,19,FALSE)</f>
        <v>#N/A</v>
      </c>
      <c r="G37" s="212" t="s">
        <v>106</v>
      </c>
      <c r="H37" s="214" t="e">
        <f>VLOOKUP($H$31,工资计算!$B$3:$BO$40,26,FALSE)</f>
        <v>#N/A</v>
      </c>
      <c r="I37" s="237"/>
    </row>
    <row r="38" spans="2:9" s="189" customFormat="1" ht="16.149999999999999" customHeight="1">
      <c r="B38" s="190"/>
      <c r="C38" s="210" t="s">
        <v>141</v>
      </c>
      <c r="D38" s="211" t="e">
        <f>VLOOKUP(H31,工资计算!$B$3:$BO$40,12,FALSE)</f>
        <v>#N/A</v>
      </c>
      <c r="E38" s="212" t="s">
        <v>142</v>
      </c>
      <c r="F38" s="213" t="e">
        <f>VLOOKUP($H$31,工资计算!$B$3:$BO$40,20,FALSE)</f>
        <v>#N/A</v>
      </c>
      <c r="G38" s="215"/>
      <c r="H38" s="217"/>
      <c r="I38" s="237"/>
    </row>
    <row r="39" spans="2:9" s="189" customFormat="1" ht="16.149999999999999" customHeight="1">
      <c r="B39" s="190"/>
      <c r="C39" s="218" t="s">
        <v>143</v>
      </c>
      <c r="D39" s="219" t="e">
        <f>VLOOKUP(H31,工资计算!$B$3:$BO$40,13,FALSE)</f>
        <v>#N/A</v>
      </c>
      <c r="E39" s="220" t="s">
        <v>110</v>
      </c>
      <c r="F39" s="221" t="e">
        <f>VLOOKUP(H31,工资计算!$B$3:$BO$40,21,FALSE)</f>
        <v>#N/A</v>
      </c>
      <c r="G39" s="222" t="s">
        <v>144</v>
      </c>
      <c r="H39" s="223" t="e">
        <f>VLOOKUP($H$31,工资计算!$B$3:$BO$40,27,FALSE)</f>
        <v>#N/A</v>
      </c>
      <c r="I39" s="237"/>
    </row>
    <row r="40" spans="2:9" s="189" customFormat="1" ht="3" customHeight="1">
      <c r="B40" s="190"/>
      <c r="C40" s="198"/>
      <c r="D40" s="199"/>
      <c r="E40" s="198"/>
      <c r="F40" s="200"/>
      <c r="G40" s="201"/>
      <c r="H40" s="201"/>
      <c r="I40" s="197"/>
    </row>
    <row r="41" spans="2:9" s="189" customFormat="1" ht="30" customHeight="1">
      <c r="B41" s="190"/>
      <c r="C41" s="240" t="e">
        <f>"  以上计算无误，收到现金"&amp;H41&amp;"元。"</f>
        <v>#N/A</v>
      </c>
      <c r="D41" s="225" t="s">
        <v>145</v>
      </c>
      <c r="E41" s="226"/>
      <c r="F41" s="227"/>
      <c r="G41" s="238" t="s">
        <v>113</v>
      </c>
      <c r="H41" s="229" t="e">
        <f>VLOOKUP($H$31,工资计算!$B$3:$BO$40,30,FALSE)</f>
        <v>#N/A</v>
      </c>
      <c r="I41" s="237"/>
    </row>
    <row r="42" spans="2:9" s="189" customFormat="1" ht="12" thickBot="1">
      <c r="B42" s="241"/>
      <c r="C42" s="242"/>
      <c r="D42" s="243"/>
      <c r="E42" s="242"/>
      <c r="F42" s="243"/>
      <c r="G42" s="244"/>
      <c r="H42" s="245"/>
      <c r="I42" s="246"/>
    </row>
    <row r="43" spans="2:9" ht="10.15" customHeight="1" thickTop="1" thickBot="1"/>
    <row r="44" spans="2:9" s="234" customFormat="1" ht="30" customHeight="1" thickTop="1">
      <c r="B44" s="235"/>
      <c r="C44" s="186" t="s">
        <v>146</v>
      </c>
      <c r="D44" s="187"/>
      <c r="E44" s="187"/>
      <c r="F44" s="187"/>
      <c r="G44" s="187"/>
      <c r="H44" s="187"/>
      <c r="I44" s="236"/>
    </row>
    <row r="45" spans="2:9" s="189" customFormat="1" ht="21" customHeight="1">
      <c r="B45" s="190"/>
      <c r="C45" s="191" t="s">
        <v>147</v>
      </c>
      <c r="D45" s="192" t="str">
        <f>工资计算!$AS$1</f>
        <v>2017年9月份</v>
      </c>
      <c r="E45" s="193" t="s">
        <v>90</v>
      </c>
      <c r="F45" s="194" t="e">
        <f>VLOOKUP(H45,工资计算!$B$3:$BO$40,6,FALSE)</f>
        <v>#N/A</v>
      </c>
      <c r="G45" s="195" t="s">
        <v>91</v>
      </c>
      <c r="H45" s="196" t="s">
        <v>408</v>
      </c>
      <c r="I45" s="197"/>
    </row>
    <row r="46" spans="2:9" s="189" customFormat="1" ht="5.25" customHeight="1">
      <c r="B46" s="190"/>
      <c r="C46" s="198"/>
      <c r="D46" s="199"/>
      <c r="E46" s="198"/>
      <c r="F46" s="200"/>
      <c r="G46" s="201"/>
      <c r="H46" s="201"/>
      <c r="I46" s="197"/>
    </row>
    <row r="47" spans="2:9" s="189" customFormat="1" ht="16.149999999999999" customHeight="1">
      <c r="B47" s="190"/>
      <c r="C47" s="204" t="s">
        <v>92</v>
      </c>
      <c r="D47" s="205" t="e">
        <f>VLOOKUP(H45,工资计算!$B$3:$BO$40,7,FALSE)</f>
        <v>#N/A</v>
      </c>
      <c r="E47" s="206" t="s">
        <v>148</v>
      </c>
      <c r="F47" s="205" t="e">
        <f>VLOOKUP($H$45,工资计算!$B$3:$BO$40,14,FALSE)</f>
        <v>#N/A</v>
      </c>
      <c r="G47" s="207" t="s">
        <v>94</v>
      </c>
      <c r="H47" s="208" t="e">
        <f>VLOOKUP($H$45,工资计算!$B$3:$BO$40,22,FALSE)</f>
        <v>#N/A</v>
      </c>
      <c r="I47" s="197"/>
    </row>
    <row r="48" spans="2:9" s="189" customFormat="1" ht="16.149999999999999" customHeight="1">
      <c r="B48" s="190"/>
      <c r="C48" s="210" t="s">
        <v>95</v>
      </c>
      <c r="D48" s="211" t="e">
        <f>VLOOKUP(H45,工资计算!$B$3:$BO$40,8,FALSE)</f>
        <v>#N/A</v>
      </c>
      <c r="E48" s="212" t="s">
        <v>149</v>
      </c>
      <c r="F48" s="213" t="e">
        <f>VLOOKUP($H$45,工资计算!$B$3:$BO$40,16,FALSE)</f>
        <v>#N/A</v>
      </c>
      <c r="G48" s="212" t="s">
        <v>97</v>
      </c>
      <c r="H48" s="214" t="e">
        <f>VLOOKUP($H$45,工资计算!$B$3:$BO$40,23,FALSE)</f>
        <v>#N/A</v>
      </c>
      <c r="I48" s="197"/>
    </row>
    <row r="49" spans="2:9" s="189" customFormat="1" ht="16.149999999999999" customHeight="1">
      <c r="B49" s="190"/>
      <c r="C49" s="210" t="s">
        <v>150</v>
      </c>
      <c r="D49" s="211" t="e">
        <f>VLOOKUP(H45,工资计算!$B$3:$BO$40,9,FALSE)</f>
        <v>#N/A</v>
      </c>
      <c r="E49" s="212" t="s">
        <v>151</v>
      </c>
      <c r="F49" s="213" t="e">
        <f>VLOOKUP($H$45,工资计算!$B$3:$BO$40,17,FALSE)</f>
        <v>#N/A</v>
      </c>
      <c r="G49" s="212" t="s">
        <v>100</v>
      </c>
      <c r="H49" s="214" t="e">
        <f>VLOOKUP($H$45,工资计算!$B$3:$BO$40,24,FALSE)</f>
        <v>#N/A</v>
      </c>
      <c r="I49" s="197"/>
    </row>
    <row r="50" spans="2:9" s="189" customFormat="1" ht="16.149999999999999" customHeight="1">
      <c r="B50" s="190"/>
      <c r="C50" s="210" t="s">
        <v>152</v>
      </c>
      <c r="D50" s="211" t="e">
        <f>VLOOKUP(H45,工资计算!$B$3:$BO$40,10,FALSE)</f>
        <v>#N/A</v>
      </c>
      <c r="E50" s="212" t="s">
        <v>153</v>
      </c>
      <c r="F50" s="213" t="e">
        <f>VLOOKUP($H$45,工资计算!$B$3:$BO$40,18,FALSE)</f>
        <v>#N/A</v>
      </c>
      <c r="G50" s="212" t="s">
        <v>103</v>
      </c>
      <c r="H50" s="214" t="e">
        <f>VLOOKUP($H$45,工资计算!$B$3:$BO$40,25,FALSE)</f>
        <v>#N/A</v>
      </c>
      <c r="I50" s="197"/>
    </row>
    <row r="51" spans="2:9" s="189" customFormat="1" ht="16.149999999999999" customHeight="1">
      <c r="B51" s="190"/>
      <c r="C51" s="210" t="s">
        <v>154</v>
      </c>
      <c r="D51" s="211" t="e">
        <f>VLOOKUP(H45,工资计算!$B$3:$BO$40,11,FALSE)</f>
        <v>#N/A</v>
      </c>
      <c r="E51" s="215" t="s">
        <v>155</v>
      </c>
      <c r="F51" s="213" t="e">
        <f>VLOOKUP($H$45,工资计算!$B$3:$BO$40,19,FALSE)</f>
        <v>#N/A</v>
      </c>
      <c r="G51" s="212" t="s">
        <v>106</v>
      </c>
      <c r="H51" s="214" t="e">
        <f>VLOOKUP($H$45,工资计算!$B$3:$BO$40,26,FALSE)</f>
        <v>#N/A</v>
      </c>
      <c r="I51" s="237"/>
    </row>
    <row r="52" spans="2:9" s="189" customFormat="1" ht="16.149999999999999" customHeight="1">
      <c r="B52" s="190"/>
      <c r="C52" s="210" t="s">
        <v>141</v>
      </c>
      <c r="D52" s="211" t="e">
        <f>VLOOKUP(H45,工资计算!$B$3:$BO$40,12,FALSE)</f>
        <v>#N/A</v>
      </c>
      <c r="E52" s="212" t="s">
        <v>142</v>
      </c>
      <c r="F52" s="213" t="e">
        <f>VLOOKUP($H$45,工资计算!$B$3:$BO$40,20,FALSE)</f>
        <v>#N/A</v>
      </c>
      <c r="G52" s="215"/>
      <c r="H52" s="217"/>
      <c r="I52" s="237"/>
    </row>
    <row r="53" spans="2:9" s="189" customFormat="1" ht="16.149999999999999" customHeight="1">
      <c r="B53" s="190"/>
      <c r="C53" s="218" t="s">
        <v>143</v>
      </c>
      <c r="D53" s="219" t="e">
        <f>VLOOKUP(H45,工资计算!$B$3:$BO$40,13,FALSE)</f>
        <v>#N/A</v>
      </c>
      <c r="E53" s="220" t="s">
        <v>110</v>
      </c>
      <c r="F53" s="221" t="e">
        <f>VLOOKUP(H45,工资计算!$B$3:$BO$40,21,FALSE)</f>
        <v>#N/A</v>
      </c>
      <c r="G53" s="222" t="s">
        <v>144</v>
      </c>
      <c r="H53" s="223" t="e">
        <f>VLOOKUP($H$45,工资计算!$B$3:$BO$40,27,FALSE)</f>
        <v>#N/A</v>
      </c>
      <c r="I53" s="237"/>
    </row>
    <row r="54" spans="2:9" s="189" customFormat="1" ht="3" customHeight="1">
      <c r="B54" s="190"/>
      <c r="C54" s="198"/>
      <c r="D54" s="199"/>
      <c r="E54" s="198"/>
      <c r="F54" s="200"/>
      <c r="G54" s="201"/>
      <c r="H54" s="201"/>
      <c r="I54" s="197"/>
    </row>
    <row r="55" spans="2:9" s="189" customFormat="1" ht="30" customHeight="1">
      <c r="B55" s="190"/>
      <c r="C55" s="224" t="e">
        <f>"  以上计算无误，收到现金"&amp;H55&amp;"元。"</f>
        <v>#N/A</v>
      </c>
      <c r="D55" s="225" t="s">
        <v>145</v>
      </c>
      <c r="E55" s="226"/>
      <c r="F55" s="227"/>
      <c r="G55" s="238" t="s">
        <v>113</v>
      </c>
      <c r="H55" s="229" t="e">
        <f>VLOOKUP($H$45,工资计算!$B$3:$BO$40,30,FALSE)</f>
        <v>#N/A</v>
      </c>
      <c r="I55" s="237"/>
    </row>
    <row r="56" spans="2:9" ht="13.5" thickBot="1">
      <c r="B56" s="230"/>
      <c r="C56" s="231"/>
      <c r="D56" s="232"/>
      <c r="E56" s="231"/>
      <c r="F56" s="232"/>
      <c r="G56" s="231"/>
      <c r="H56" s="239"/>
      <c r="I56" s="233"/>
    </row>
    <row r="57" spans="2:9" ht="13" thickTop="1"/>
    <row r="60" spans="2:9" ht="12.75" customHeight="1">
      <c r="C60" s="224"/>
      <c r="D60" s="224"/>
    </row>
  </sheetData>
  <phoneticPr fontId="3" type="noConversion"/>
  <printOptions horizontalCentered="1"/>
  <pageMargins left="0.15748031496062992" right="0.15748031496062992" top="0.3" bottom="0.31496062992125984" header="0.19685039370078741" footer="0.23622047244094491"/>
  <pageSetup paperSize="9" scale="87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61"/>
  <sheetViews>
    <sheetView topLeftCell="A34" workbookViewId="0">
      <selection activeCell="P20" sqref="P20:R20"/>
    </sheetView>
  </sheetViews>
  <sheetFormatPr defaultColWidth="9" defaultRowHeight="15"/>
  <cols>
    <col min="1" max="1" width="1" style="255" customWidth="1"/>
    <col min="2" max="2" width="12.5" style="255" customWidth="1"/>
    <col min="3" max="3" width="2.75" style="255" customWidth="1"/>
    <col min="4" max="4" width="8.58203125" style="255" customWidth="1"/>
    <col min="5" max="5" width="5.25" style="255" customWidth="1"/>
    <col min="6" max="6" width="12.75" style="255" customWidth="1"/>
    <col min="7" max="8" width="1.08203125" style="255" customWidth="1"/>
    <col min="9" max="9" width="12.5" style="255" customWidth="1"/>
    <col min="10" max="10" width="2.75" style="255" customWidth="1"/>
    <col min="11" max="11" width="8.58203125" style="255" customWidth="1"/>
    <col min="12" max="12" width="5.25" style="255" customWidth="1"/>
    <col min="13" max="13" width="13" style="255" customWidth="1"/>
    <col min="14" max="14" width="1.25" customWidth="1"/>
    <col min="15" max="15" width="1.08203125" customWidth="1"/>
    <col min="16" max="16" width="12.5" style="255" customWidth="1"/>
    <col min="17" max="17" width="2.75" style="255" customWidth="1"/>
    <col min="18" max="18" width="8.58203125" style="255" customWidth="1"/>
    <col min="19" max="19" width="5.25" style="255" customWidth="1"/>
    <col min="20" max="20" width="12.08203125" style="255" customWidth="1"/>
    <col min="21" max="21" width="0.5" style="255" customWidth="1"/>
    <col min="22" max="16384" width="9" style="255"/>
  </cols>
  <sheetData>
    <row r="1" spans="1:24" ht="18.75" customHeight="1">
      <c r="A1" s="247"/>
      <c r="B1" s="248" t="s">
        <v>156</v>
      </c>
      <c r="C1" s="249"/>
      <c r="D1" s="249"/>
      <c r="E1" s="249"/>
      <c r="F1" s="249"/>
      <c r="G1" s="250"/>
      <c r="H1" s="251"/>
      <c r="I1" s="248" t="s">
        <v>156</v>
      </c>
      <c r="J1" s="252"/>
      <c r="K1" s="252"/>
      <c r="L1" s="252"/>
      <c r="M1" s="252"/>
      <c r="N1" s="253"/>
      <c r="O1" s="254"/>
      <c r="P1" s="248" t="s">
        <v>156</v>
      </c>
      <c r="Q1" s="249"/>
      <c r="R1" s="249"/>
      <c r="S1" s="249"/>
      <c r="T1" s="249"/>
      <c r="U1" s="250"/>
      <c r="V1" s="250"/>
      <c r="W1" s="250"/>
      <c r="X1" s="250"/>
    </row>
    <row r="2" spans="1:24" ht="3" customHeight="1">
      <c r="A2" s="247"/>
      <c r="B2" s="249"/>
      <c r="C2" s="249"/>
      <c r="D2" s="249"/>
      <c r="E2" s="249"/>
      <c r="F2" s="249"/>
      <c r="G2" s="250"/>
      <c r="H2" s="251"/>
      <c r="I2" s="252"/>
      <c r="J2" s="252"/>
      <c r="K2" s="252"/>
      <c r="L2" s="252"/>
      <c r="M2" s="252"/>
      <c r="N2" s="253"/>
      <c r="O2" s="254"/>
      <c r="P2" s="249"/>
      <c r="Q2" s="249"/>
      <c r="R2" s="249"/>
      <c r="S2" s="249"/>
      <c r="T2" s="249"/>
      <c r="U2" s="250"/>
      <c r="V2" s="250"/>
      <c r="W2" s="250"/>
      <c r="X2" s="250"/>
    </row>
    <row r="3" spans="1:24" ht="23">
      <c r="A3" s="247"/>
      <c r="B3" s="256" t="s">
        <v>157</v>
      </c>
      <c r="C3" s="257"/>
      <c r="D3" s="257"/>
      <c r="E3" s="257"/>
      <c r="F3" s="257"/>
      <c r="G3" s="250"/>
      <c r="H3" s="251"/>
      <c r="I3" s="258" t="s">
        <v>157</v>
      </c>
      <c r="J3" s="259"/>
      <c r="K3" s="259"/>
      <c r="L3" s="259"/>
      <c r="M3" s="259"/>
      <c r="N3" s="253"/>
      <c r="O3" s="254"/>
      <c r="P3" s="256" t="s">
        <v>157</v>
      </c>
      <c r="Q3" s="257"/>
      <c r="R3" s="257"/>
      <c r="S3" s="257"/>
      <c r="T3" s="257"/>
      <c r="U3" s="250"/>
      <c r="V3" s="250"/>
      <c r="W3" s="250"/>
      <c r="X3" s="250"/>
    </row>
    <row r="4" spans="1:24" ht="18.75" customHeight="1">
      <c r="A4" s="247"/>
      <c r="B4" s="260" t="s">
        <v>158</v>
      </c>
      <c r="C4" s="257"/>
      <c r="D4" s="257"/>
      <c r="E4" s="257"/>
      <c r="F4" s="257"/>
      <c r="G4" s="250"/>
      <c r="H4" s="251"/>
      <c r="I4" s="261" t="s">
        <v>158</v>
      </c>
      <c r="J4" s="259"/>
      <c r="K4" s="259"/>
      <c r="L4" s="259"/>
      <c r="M4" s="259"/>
      <c r="N4" s="253"/>
      <c r="O4" s="254"/>
      <c r="P4" s="260" t="s">
        <v>158</v>
      </c>
      <c r="Q4" s="257"/>
      <c r="R4" s="257"/>
      <c r="S4" s="257"/>
      <c r="T4" s="257"/>
      <c r="U4" s="250"/>
      <c r="V4" s="250"/>
      <c r="W4" s="250"/>
      <c r="X4" s="250"/>
    </row>
    <row r="5" spans="1:24" ht="18.75" customHeight="1">
      <c r="A5" s="247"/>
      <c r="B5" s="262" t="s">
        <v>160</v>
      </c>
      <c r="C5" s="247"/>
      <c r="D5" s="263" t="s">
        <v>161</v>
      </c>
      <c r="E5" s="264" t="s">
        <v>163</v>
      </c>
      <c r="F5" s="719" t="str">
        <f>工资计算!AS1</f>
        <v>2017年9月份</v>
      </c>
      <c r="G5" s="250"/>
      <c r="H5" s="251"/>
      <c r="I5" s="265" t="s">
        <v>164</v>
      </c>
      <c r="J5" s="250"/>
      <c r="K5" s="266" t="s">
        <v>165</v>
      </c>
      <c r="L5" s="267" t="s">
        <v>166</v>
      </c>
      <c r="M5" s="720" t="str">
        <f>工资计算!AS1</f>
        <v>2017年9月份</v>
      </c>
      <c r="N5" s="253"/>
      <c r="O5" s="254"/>
      <c r="P5" s="262" t="s">
        <v>159</v>
      </c>
      <c r="Q5" s="247"/>
      <c r="R5" s="263" t="s">
        <v>167</v>
      </c>
      <c r="S5" s="264" t="s">
        <v>162</v>
      </c>
      <c r="T5" s="719" t="str">
        <f>工资计算!AS1</f>
        <v>2017年9月份</v>
      </c>
      <c r="U5" s="250"/>
      <c r="V5" s="250"/>
      <c r="W5" s="250"/>
      <c r="X5" s="250"/>
    </row>
    <row r="6" spans="1:24" ht="15.75" customHeight="1">
      <c r="A6" s="247"/>
      <c r="B6" s="262" t="s">
        <v>168</v>
      </c>
      <c r="C6" s="721">
        <f>VLOOKUP($D$5,工资计算!$B$3:$AZ$78,35)</f>
        <v>0</v>
      </c>
      <c r="D6" s="721"/>
      <c r="E6" s="268" t="s">
        <v>169</v>
      </c>
      <c r="F6" s="719"/>
      <c r="G6" s="250"/>
      <c r="H6" s="251"/>
      <c r="I6" s="265" t="s">
        <v>170</v>
      </c>
      <c r="J6" s="721">
        <f>VLOOKUP($K$5,工资计算!$B$3:$AZ$78,35)</f>
        <v>0</v>
      </c>
      <c r="K6" s="721"/>
      <c r="L6" s="268" t="s">
        <v>169</v>
      </c>
      <c r="M6" s="720"/>
      <c r="N6" s="253"/>
      <c r="O6" s="254"/>
      <c r="P6" s="262" t="s">
        <v>170</v>
      </c>
      <c r="Q6" s="721">
        <f>VLOOKUP($R$5,工资计算!$B$3:$AZ$78,35)</f>
        <v>0</v>
      </c>
      <c r="R6" s="721"/>
      <c r="S6" s="268" t="s">
        <v>169</v>
      </c>
      <c r="T6" s="719"/>
      <c r="U6" s="250"/>
      <c r="V6" s="250"/>
      <c r="W6" s="250"/>
      <c r="X6" s="250"/>
    </row>
    <row r="7" spans="1:24" ht="19" thickBot="1">
      <c r="A7" s="247"/>
      <c r="B7" s="269" t="s">
        <v>171</v>
      </c>
      <c r="C7" s="270"/>
      <c r="D7" s="713">
        <f>VLOOKUP($D$5,工资计算!$B$3:$AZ$79,6)</f>
        <v>1</v>
      </c>
      <c r="E7" s="713"/>
      <c r="F7" s="271"/>
      <c r="G7" s="250"/>
      <c r="H7" s="251"/>
      <c r="I7" s="272" t="s">
        <v>171</v>
      </c>
      <c r="J7" s="273"/>
      <c r="K7" s="713">
        <f>VLOOKUP($K$5,工资计算!$B$3:$AZ$79,6)</f>
        <v>1</v>
      </c>
      <c r="L7" s="713"/>
      <c r="M7" s="271"/>
      <c r="N7" s="253"/>
      <c r="O7" s="254"/>
      <c r="P7" s="269" t="s">
        <v>171</v>
      </c>
      <c r="Q7" s="270"/>
      <c r="R7" s="713">
        <f>VLOOKUP($R$5,工资计算!$B$3:$AZ$79,6)</f>
        <v>1</v>
      </c>
      <c r="S7" s="713"/>
      <c r="T7" s="271"/>
      <c r="U7" s="250"/>
      <c r="V7" s="250"/>
      <c r="W7" s="250"/>
      <c r="X7" s="250"/>
    </row>
    <row r="8" spans="1:24" ht="29.25" customHeight="1">
      <c r="A8" s="247"/>
      <c r="B8" s="714" t="s">
        <v>172</v>
      </c>
      <c r="C8" s="715"/>
      <c r="D8" s="715"/>
      <c r="E8" s="274" t="s">
        <v>173</v>
      </c>
      <c r="F8" s="275"/>
      <c r="G8" s="250"/>
      <c r="H8" s="251"/>
      <c r="I8" s="716" t="s">
        <v>172</v>
      </c>
      <c r="J8" s="717"/>
      <c r="K8" s="717"/>
      <c r="L8" s="276" t="s">
        <v>173</v>
      </c>
      <c r="M8" s="277"/>
      <c r="N8" s="253"/>
      <c r="O8" s="254"/>
      <c r="P8" s="716" t="s">
        <v>172</v>
      </c>
      <c r="Q8" s="717"/>
      <c r="R8" s="718"/>
      <c r="S8" s="278" t="s">
        <v>173</v>
      </c>
      <c r="T8" s="277"/>
      <c r="U8" s="250"/>
      <c r="V8" s="250"/>
      <c r="W8" s="250"/>
      <c r="X8" s="250"/>
    </row>
    <row r="9" spans="1:24" s="250" customFormat="1" ht="6" customHeight="1">
      <c r="A9" s="247"/>
      <c r="B9" s="279"/>
      <c r="C9" s="279"/>
      <c r="D9" s="280"/>
      <c r="E9" s="280"/>
      <c r="F9" s="280"/>
      <c r="H9" s="251"/>
      <c r="I9" s="279"/>
      <c r="J9" s="279"/>
      <c r="K9" s="280"/>
      <c r="L9" s="280"/>
      <c r="M9" s="280"/>
      <c r="N9" s="253"/>
      <c r="O9" s="254"/>
      <c r="P9" s="279"/>
      <c r="Q9" s="279"/>
      <c r="R9" s="280"/>
      <c r="S9" s="280"/>
      <c r="T9" s="280"/>
    </row>
    <row r="10" spans="1:24">
      <c r="A10" s="247"/>
      <c r="B10" s="711" t="s">
        <v>174</v>
      </c>
      <c r="C10" s="712"/>
      <c r="D10" s="712"/>
      <c r="E10" s="281"/>
      <c r="F10" s="282">
        <f>VLOOKUP($D$5,工资计算!$B$3:$AZ$79,7)</f>
        <v>1</v>
      </c>
      <c r="G10" s="250"/>
      <c r="H10" s="251"/>
      <c r="I10" s="711" t="s">
        <v>174</v>
      </c>
      <c r="J10" s="712"/>
      <c r="K10" s="712"/>
      <c r="L10" s="283"/>
      <c r="M10" s="282">
        <f>VLOOKUP($K$5,工资计算!$B$3:$AZ$79,7)</f>
        <v>1</v>
      </c>
      <c r="N10" s="253"/>
      <c r="O10" s="254"/>
      <c r="P10" s="711" t="s">
        <v>174</v>
      </c>
      <c r="Q10" s="712"/>
      <c r="R10" s="712"/>
      <c r="S10" s="283"/>
      <c r="T10" s="282">
        <f>VLOOKUP($R$5,工资计算!$B$3:$AZ$79,7)</f>
        <v>1</v>
      </c>
      <c r="U10" s="250"/>
      <c r="V10" s="250"/>
      <c r="W10" s="250"/>
      <c r="X10" s="250"/>
    </row>
    <row r="11" spans="1:24">
      <c r="A11" s="247"/>
      <c r="B11" s="703" t="s">
        <v>175</v>
      </c>
      <c r="C11" s="704"/>
      <c r="D11" s="704"/>
      <c r="E11" s="284"/>
      <c r="F11" s="285" t="str">
        <f>VLOOKUP($D$5,工资计算!$B$3:$AZ$79,8)</f>
        <v>ABC</v>
      </c>
      <c r="G11" s="250"/>
      <c r="H11" s="251"/>
      <c r="I11" s="703" t="s">
        <v>175</v>
      </c>
      <c r="J11" s="704"/>
      <c r="K11" s="704"/>
      <c r="L11" s="284"/>
      <c r="M11" s="285" t="str">
        <f>VLOOKUP($K$5,工资计算!$B$3:$AZ$79,8)</f>
        <v>CBD</v>
      </c>
      <c r="N11" s="253"/>
      <c r="O11" s="254"/>
      <c r="P11" s="703" t="s">
        <v>175</v>
      </c>
      <c r="Q11" s="704"/>
      <c r="R11" s="704"/>
      <c r="S11" s="284"/>
      <c r="T11" s="285" t="str">
        <f>VLOOKUP($R$5,工资计算!$B$3:$AZ$79,8)</f>
        <v>CBD</v>
      </c>
      <c r="U11" s="250"/>
      <c r="V11" s="250"/>
      <c r="W11" s="250"/>
      <c r="X11" s="250"/>
    </row>
    <row r="12" spans="1:24">
      <c r="A12" s="247"/>
      <c r="B12" s="703" t="s">
        <v>176</v>
      </c>
      <c r="C12" s="704"/>
      <c r="D12" s="705"/>
      <c r="E12" s="284"/>
      <c r="F12" s="285">
        <f>VLOOKUP($D$5,工资计算!$B$3:$AZ$79,10)</f>
        <v>300</v>
      </c>
      <c r="G12" s="250"/>
      <c r="H12" s="251"/>
      <c r="I12" s="703" t="s">
        <v>176</v>
      </c>
      <c r="J12" s="704"/>
      <c r="K12" s="705"/>
      <c r="L12" s="284"/>
      <c r="M12" s="285">
        <f>VLOOKUP($K$5,工资计算!$B$3:$AZ$79,10)</f>
        <v>1000</v>
      </c>
      <c r="N12" s="253"/>
      <c r="O12" s="254"/>
      <c r="P12" s="703" t="s">
        <v>176</v>
      </c>
      <c r="Q12" s="704"/>
      <c r="R12" s="705"/>
      <c r="S12" s="284"/>
      <c r="T12" s="285">
        <f>VLOOKUP($R$5,工资计算!$B$3:$AZ$79,10)</f>
        <v>1000</v>
      </c>
      <c r="U12" s="250"/>
      <c r="V12" s="250"/>
      <c r="W12" s="250"/>
      <c r="X12" s="250"/>
    </row>
    <row r="13" spans="1:24" ht="15.75" customHeight="1">
      <c r="A13" s="247"/>
      <c r="B13" s="694" t="s">
        <v>177</v>
      </c>
      <c r="C13" s="695"/>
      <c r="D13" s="695"/>
      <c r="E13" s="288"/>
      <c r="F13" s="285">
        <f>VLOOKUP($D$5,工资计算!$B$3:$AZ$79,11)</f>
        <v>0</v>
      </c>
      <c r="G13" s="250"/>
      <c r="H13" s="251"/>
      <c r="I13" s="694" t="s">
        <v>177</v>
      </c>
      <c r="J13" s="695"/>
      <c r="K13" s="695"/>
      <c r="L13" s="288"/>
      <c r="M13" s="285">
        <f>VLOOKUP($K$5,工资计算!$B$3:$AZ$79,11)</f>
        <v>0</v>
      </c>
      <c r="N13" s="253"/>
      <c r="O13" s="254"/>
      <c r="P13" s="694" t="s">
        <v>177</v>
      </c>
      <c r="Q13" s="695"/>
      <c r="R13" s="695"/>
      <c r="S13" s="288"/>
      <c r="T13" s="285">
        <f>VLOOKUP($R$5,工资计算!$B$3:$AZ$79,11)</f>
        <v>0</v>
      </c>
      <c r="U13" s="250"/>
      <c r="V13" s="250"/>
      <c r="W13" s="250"/>
      <c r="X13" s="250"/>
    </row>
    <row r="14" spans="1:24" ht="15.5">
      <c r="A14" s="247"/>
      <c r="B14" s="694" t="s">
        <v>178</v>
      </c>
      <c r="C14" s="695"/>
      <c r="D14" s="695"/>
      <c r="E14" s="288"/>
      <c r="F14" s="285">
        <f>VLOOKUP($D$5,工资计算!$B$3:$AZ$79,13)</f>
        <v>0</v>
      </c>
      <c r="G14" s="250"/>
      <c r="H14" s="251"/>
      <c r="I14" s="694" t="s">
        <v>178</v>
      </c>
      <c r="J14" s="695"/>
      <c r="K14" s="695"/>
      <c r="L14" s="288"/>
      <c r="M14" s="285">
        <f>VLOOKUP($K$5,工资计算!$B$3:$AZ$79,13)</f>
        <v>0</v>
      </c>
      <c r="N14" s="253"/>
      <c r="O14" s="254"/>
      <c r="P14" s="694" t="s">
        <v>178</v>
      </c>
      <c r="Q14" s="695"/>
      <c r="R14" s="695"/>
      <c r="S14" s="288"/>
      <c r="T14" s="285">
        <f>VLOOKUP($R$5,工资计算!$B$3:$AZ$79,13)</f>
        <v>0</v>
      </c>
      <c r="U14" s="250"/>
      <c r="V14" s="250"/>
      <c r="W14" s="250"/>
      <c r="X14" s="250"/>
    </row>
    <row r="15" spans="1:24" ht="15.5">
      <c r="A15" s="247"/>
      <c r="B15" s="694" t="s">
        <v>179</v>
      </c>
      <c r="C15" s="695"/>
      <c r="D15" s="695"/>
      <c r="E15" s="288"/>
      <c r="F15" s="285">
        <f>VLOOKUP($D$5,工资计算!$B$3:$AZ$79,14)</f>
        <v>0</v>
      </c>
      <c r="G15" s="250"/>
      <c r="H15" s="251"/>
      <c r="I15" s="694" t="s">
        <v>180</v>
      </c>
      <c r="J15" s="695"/>
      <c r="K15" s="695"/>
      <c r="L15" s="288"/>
      <c r="M15" s="285">
        <f>VLOOKUP($K$5,工资计算!$B$3:$AZ$79,14)</f>
        <v>0</v>
      </c>
      <c r="N15" s="253"/>
      <c r="O15" s="254"/>
      <c r="P15" s="694" t="s">
        <v>180</v>
      </c>
      <c r="Q15" s="695"/>
      <c r="R15" s="695"/>
      <c r="S15" s="288"/>
      <c r="T15" s="285">
        <f>VLOOKUP($R$5,工资计算!$B$3:$AZ$79,14)</f>
        <v>0</v>
      </c>
      <c r="U15" s="250"/>
      <c r="V15" s="250"/>
      <c r="W15" s="250"/>
      <c r="X15" s="250"/>
    </row>
    <row r="16" spans="1:24">
      <c r="A16" s="247"/>
      <c r="B16" s="706" t="s">
        <v>181</v>
      </c>
      <c r="C16" s="707"/>
      <c r="D16" s="707"/>
      <c r="E16" s="289"/>
      <c r="F16" s="290">
        <f>VLOOKUP($D$5,工资计算!$B$3:$AZ$79,15)</f>
        <v>0</v>
      </c>
      <c r="G16" s="250"/>
      <c r="H16" s="251"/>
      <c r="I16" s="706" t="s">
        <v>182</v>
      </c>
      <c r="J16" s="707"/>
      <c r="K16" s="707"/>
      <c r="L16" s="289"/>
      <c r="M16" s="290">
        <f>VLOOKUP($K$5,工资计算!$B$3:$AZ$79,15)</f>
        <v>0</v>
      </c>
      <c r="N16" s="253"/>
      <c r="O16" s="254"/>
      <c r="P16" s="706" t="s">
        <v>182</v>
      </c>
      <c r="Q16" s="707"/>
      <c r="R16" s="707"/>
      <c r="S16" s="289"/>
      <c r="T16" s="290">
        <f>VLOOKUP($R$5,工资计算!$B$3:$AZ$79,15)</f>
        <v>0</v>
      </c>
      <c r="U16" s="250"/>
      <c r="V16" s="250"/>
      <c r="W16" s="250"/>
      <c r="X16" s="250"/>
    </row>
    <row r="17" spans="1:24">
      <c r="A17" s="247"/>
      <c r="B17" s="708" t="s">
        <v>183</v>
      </c>
      <c r="C17" s="709"/>
      <c r="D17" s="710"/>
      <c r="E17" s="291"/>
      <c r="F17" s="292"/>
      <c r="G17" s="250"/>
      <c r="H17" s="251"/>
      <c r="I17" s="708" t="s">
        <v>183</v>
      </c>
      <c r="J17" s="709"/>
      <c r="K17" s="710"/>
      <c r="L17" s="291"/>
      <c r="M17" s="292"/>
      <c r="N17" s="253"/>
      <c r="O17" s="254"/>
      <c r="P17" s="708" t="s">
        <v>183</v>
      </c>
      <c r="Q17" s="709"/>
      <c r="R17" s="710"/>
      <c r="S17" s="291"/>
      <c r="T17" s="292"/>
      <c r="U17" s="250"/>
      <c r="V17" s="250"/>
      <c r="W17" s="250"/>
      <c r="X17" s="250"/>
    </row>
    <row r="18" spans="1:24">
      <c r="A18" s="247"/>
      <c r="B18" s="286" t="s">
        <v>184</v>
      </c>
      <c r="C18" s="287"/>
      <c r="D18" s="293"/>
      <c r="E18" s="294"/>
      <c r="F18" s="285">
        <f>VLOOKUP($D$5,工资计算!$B$3:$AZ$79,16)</f>
        <v>0</v>
      </c>
      <c r="G18" s="250"/>
      <c r="H18" s="251"/>
      <c r="I18" s="286" t="s">
        <v>184</v>
      </c>
      <c r="J18" s="287"/>
      <c r="K18" s="293"/>
      <c r="L18" s="294"/>
      <c r="M18" s="285">
        <f>VLOOKUP($K$5,工资计算!$B$3:$AZ$79,16)</f>
        <v>0</v>
      </c>
      <c r="N18" s="253"/>
      <c r="O18" s="254"/>
      <c r="P18" s="286" t="s">
        <v>184</v>
      </c>
      <c r="Q18" s="287"/>
      <c r="R18" s="293"/>
      <c r="S18" s="294"/>
      <c r="T18" s="285">
        <f>VLOOKUP($R$5,工资计算!$B$3:$AZ$79,16)</f>
        <v>0</v>
      </c>
      <c r="U18" s="250"/>
      <c r="V18" s="250"/>
      <c r="W18" s="250"/>
      <c r="X18" s="250"/>
    </row>
    <row r="19" spans="1:24">
      <c r="A19" s="247"/>
      <c r="B19" s="286" t="s">
        <v>185</v>
      </c>
      <c r="C19" s="287"/>
      <c r="D19" s="293"/>
      <c r="E19" s="294"/>
      <c r="F19" s="285">
        <f>VLOOKUP($D$5,工资计算!$B$3:$AZ$79,17)</f>
        <v>0</v>
      </c>
      <c r="G19" s="250"/>
      <c r="H19" s="251"/>
      <c r="I19" s="286" t="s">
        <v>186</v>
      </c>
      <c r="J19" s="287"/>
      <c r="K19" s="293"/>
      <c r="L19" s="294"/>
      <c r="M19" s="285">
        <f>VLOOKUP($K$5,工资计算!$B$3:$AZ$79,17)</f>
        <v>0</v>
      </c>
      <c r="N19" s="253"/>
      <c r="O19" s="254"/>
      <c r="P19" s="286" t="s">
        <v>186</v>
      </c>
      <c r="Q19" s="287"/>
      <c r="R19" s="293"/>
      <c r="S19" s="294"/>
      <c r="T19" s="285">
        <f>VLOOKUP($R$5,工资计算!$B$3:$AZ$79,17)</f>
        <v>0</v>
      </c>
      <c r="U19" s="250"/>
      <c r="V19" s="250"/>
      <c r="W19" s="250"/>
      <c r="X19" s="250"/>
    </row>
    <row r="20" spans="1:24" ht="15.5">
      <c r="A20" s="247"/>
      <c r="B20" s="694" t="s">
        <v>187</v>
      </c>
      <c r="C20" s="695"/>
      <c r="D20" s="696"/>
      <c r="E20" s="288"/>
      <c r="F20" s="285">
        <f>VLOOKUP($D$5,工资计算!$B$3:$AZ$79,18)</f>
        <v>0</v>
      </c>
      <c r="G20" s="250"/>
      <c r="H20" s="251"/>
      <c r="I20" s="694" t="s">
        <v>187</v>
      </c>
      <c r="J20" s="695"/>
      <c r="K20" s="696"/>
      <c r="L20" s="288"/>
      <c r="M20" s="285">
        <f>VLOOKUP($K$5,工资计算!$B$3:$AZ$79,18)</f>
        <v>0</v>
      </c>
      <c r="N20" s="253"/>
      <c r="O20" s="254"/>
      <c r="P20" s="694" t="s">
        <v>187</v>
      </c>
      <c r="Q20" s="695"/>
      <c r="R20" s="696"/>
      <c r="S20" s="288"/>
      <c r="T20" s="285">
        <f>VLOOKUP($R$5,工资计算!$B$3:$AZ$79,18)</f>
        <v>0</v>
      </c>
      <c r="U20" s="250"/>
      <c r="V20" s="250"/>
      <c r="W20" s="250"/>
      <c r="X20" s="250"/>
    </row>
    <row r="21" spans="1:24" ht="15.5">
      <c r="A21" s="247"/>
      <c r="B21" s="703" t="s">
        <v>188</v>
      </c>
      <c r="C21" s="704"/>
      <c r="D21" s="705"/>
      <c r="E21" s="288"/>
      <c r="F21" s="285">
        <f>VLOOKUP($D$5,工资计算!$B$3:$AZ$79,19)</f>
        <v>0</v>
      </c>
      <c r="G21" s="250"/>
      <c r="H21" s="251"/>
      <c r="I21" s="703" t="s">
        <v>188</v>
      </c>
      <c r="J21" s="704"/>
      <c r="K21" s="705"/>
      <c r="L21" s="288"/>
      <c r="M21" s="285">
        <f>VLOOKUP($K$5,工资计算!$B$3:$AZ$79,19)</f>
        <v>0</v>
      </c>
      <c r="N21" s="253"/>
      <c r="O21" s="254"/>
      <c r="P21" s="703" t="s">
        <v>188</v>
      </c>
      <c r="Q21" s="704"/>
      <c r="R21" s="705"/>
      <c r="S21" s="288"/>
      <c r="T21" s="285">
        <f>VLOOKUP($R$5,工资计算!$B$3:$AZ$79,19)</f>
        <v>0</v>
      </c>
      <c r="U21" s="250"/>
      <c r="V21" s="250"/>
      <c r="W21" s="250"/>
      <c r="X21" s="250"/>
    </row>
    <row r="22" spans="1:24" ht="15.5">
      <c r="A22" s="247"/>
      <c r="B22" s="700" t="s">
        <v>189</v>
      </c>
      <c r="C22" s="701"/>
      <c r="D22" s="702"/>
      <c r="E22" s="288"/>
      <c r="F22" s="285">
        <f>VLOOKUP($D$5,工资计算!$B$3:$AZ$79,20)</f>
        <v>0</v>
      </c>
      <c r="G22" s="250"/>
      <c r="H22" s="251"/>
      <c r="I22" s="700" t="s">
        <v>189</v>
      </c>
      <c r="J22" s="701"/>
      <c r="K22" s="702"/>
      <c r="L22" s="288"/>
      <c r="M22" s="285">
        <f>VLOOKUP($K$5,工资计算!$B$3:$AZ$79,20)</f>
        <v>0</v>
      </c>
      <c r="N22" s="253"/>
      <c r="O22" s="254"/>
      <c r="P22" s="700" t="s">
        <v>189</v>
      </c>
      <c r="Q22" s="701"/>
      <c r="R22" s="702"/>
      <c r="S22" s="288"/>
      <c r="T22" s="285">
        <f>VLOOKUP($R$5,工资计算!$B$3:$AZ$79,20)</f>
        <v>0</v>
      </c>
      <c r="U22" s="250"/>
      <c r="V22" s="250"/>
      <c r="W22" s="250"/>
      <c r="X22" s="250"/>
    </row>
    <row r="23" spans="1:24" ht="15.5">
      <c r="A23" s="247"/>
      <c r="B23" s="694" t="s">
        <v>190</v>
      </c>
      <c r="C23" s="695"/>
      <c r="D23" s="696"/>
      <c r="E23" s="288"/>
      <c r="F23" s="285"/>
      <c r="G23" s="250"/>
      <c r="H23" s="251"/>
      <c r="I23" s="694" t="s">
        <v>190</v>
      </c>
      <c r="J23" s="695"/>
      <c r="K23" s="696"/>
      <c r="L23" s="288"/>
      <c r="M23" s="285"/>
      <c r="N23" s="253"/>
      <c r="O23" s="254"/>
      <c r="P23" s="694" t="s">
        <v>190</v>
      </c>
      <c r="Q23" s="695"/>
      <c r="R23" s="696"/>
      <c r="S23" s="288"/>
      <c r="T23" s="285"/>
      <c r="U23" s="250"/>
      <c r="V23" s="250"/>
      <c r="W23" s="250"/>
      <c r="X23" s="250"/>
    </row>
    <row r="24" spans="1:24" ht="15.5">
      <c r="A24" s="247"/>
      <c r="B24" s="694" t="s">
        <v>191</v>
      </c>
      <c r="C24" s="695"/>
      <c r="D24" s="696"/>
      <c r="E24" s="295"/>
      <c r="F24" s="285">
        <f>VLOOKUP($D$5,工资计算!$B$3:$AZ$79,21)</f>
        <v>0</v>
      </c>
      <c r="G24" s="250"/>
      <c r="H24" s="251"/>
      <c r="I24" s="694" t="s">
        <v>191</v>
      </c>
      <c r="J24" s="695"/>
      <c r="K24" s="696"/>
      <c r="L24" s="295"/>
      <c r="M24" s="285">
        <f>VLOOKUP($K$5,工资计算!$B$3:$AZ$79,21)</f>
        <v>0</v>
      </c>
      <c r="N24" s="253"/>
      <c r="O24" s="254"/>
      <c r="P24" s="694" t="s">
        <v>191</v>
      </c>
      <c r="Q24" s="695"/>
      <c r="R24" s="696"/>
      <c r="S24" s="295"/>
      <c r="T24" s="285">
        <f>VLOOKUP($R$5,工资计算!$B$3:$AZ$79,21)</f>
        <v>0</v>
      </c>
      <c r="U24" s="250"/>
      <c r="V24" s="250"/>
      <c r="W24" s="250"/>
      <c r="X24" s="250"/>
    </row>
    <row r="25" spans="1:24" ht="6" customHeight="1">
      <c r="A25" s="247"/>
      <c r="B25" s="279"/>
      <c r="C25" s="279"/>
      <c r="D25" s="280"/>
      <c r="E25" s="280"/>
      <c r="F25" s="280"/>
      <c r="G25" s="250"/>
      <c r="H25" s="251"/>
      <c r="I25" s="279"/>
      <c r="J25" s="279"/>
      <c r="K25" s="280"/>
      <c r="L25" s="280"/>
      <c r="M25" s="280"/>
      <c r="N25" s="253"/>
      <c r="O25" s="254"/>
      <c r="P25" s="279"/>
      <c r="Q25" s="279"/>
      <c r="R25" s="280"/>
      <c r="S25" s="280"/>
      <c r="T25" s="280"/>
      <c r="U25" s="250"/>
      <c r="V25" s="250"/>
      <c r="W25" s="250"/>
      <c r="X25" s="250"/>
    </row>
    <row r="26" spans="1:24" ht="29.25" customHeight="1" thickBot="1">
      <c r="A26" s="247"/>
      <c r="B26" s="697" t="s">
        <v>192</v>
      </c>
      <c r="C26" s="698"/>
      <c r="D26" s="698"/>
      <c r="E26" s="296"/>
      <c r="F26" s="297">
        <f>VLOOKUP($D$5,工资计算!$B$3:$AZ$79,24)</f>
        <v>4292</v>
      </c>
      <c r="G26" s="250"/>
      <c r="H26" s="251"/>
      <c r="I26" s="697" t="s">
        <v>192</v>
      </c>
      <c r="J26" s="698"/>
      <c r="K26" s="698"/>
      <c r="L26" s="296"/>
      <c r="M26" s="297">
        <f>VLOOKUP($K$5,工资计算!$B$3:$AZ$79,24)</f>
        <v>4292</v>
      </c>
      <c r="N26" s="253"/>
      <c r="O26" s="254"/>
      <c r="P26" s="697" t="s">
        <v>192</v>
      </c>
      <c r="Q26" s="698"/>
      <c r="R26" s="699"/>
      <c r="S26" s="298"/>
      <c r="T26" s="297">
        <f>VLOOKUP($R$5,工资计算!$B$3:$AZ$79,24)</f>
        <v>4292</v>
      </c>
      <c r="U26" s="250"/>
      <c r="V26" s="250"/>
      <c r="W26" s="250"/>
      <c r="X26" s="250"/>
    </row>
    <row r="27" spans="1:24" ht="4.5" customHeight="1">
      <c r="A27" s="247"/>
      <c r="B27" s="247"/>
      <c r="C27" s="247"/>
      <c r="D27" s="247"/>
      <c r="E27" s="250"/>
      <c r="F27" s="247"/>
      <c r="G27" s="250"/>
      <c r="H27" s="251"/>
      <c r="I27" s="250"/>
      <c r="J27" s="250"/>
      <c r="K27" s="250"/>
      <c r="L27" s="250"/>
      <c r="M27" s="250"/>
      <c r="N27" s="253"/>
      <c r="O27" s="254"/>
      <c r="P27" s="247"/>
      <c r="Q27" s="247"/>
      <c r="R27" s="247"/>
      <c r="S27" s="250"/>
      <c r="T27" s="247"/>
      <c r="U27" s="250"/>
      <c r="V27" s="250"/>
      <c r="W27" s="250"/>
      <c r="X27" s="250"/>
    </row>
    <row r="28" spans="1:24" ht="11.25" customHeight="1">
      <c r="A28" s="247"/>
      <c r="B28" s="299" t="s">
        <v>193</v>
      </c>
      <c r="C28" s="247"/>
      <c r="D28" s="247"/>
      <c r="E28" s="247"/>
      <c r="F28" s="247"/>
      <c r="G28" s="250"/>
      <c r="H28" s="251"/>
      <c r="I28" s="299" t="s">
        <v>193</v>
      </c>
      <c r="J28" s="250"/>
      <c r="K28" s="250"/>
      <c r="L28" s="250"/>
      <c r="M28" s="250"/>
      <c r="N28" s="253"/>
      <c r="O28" s="254"/>
      <c r="P28" s="299" t="s">
        <v>193</v>
      </c>
      <c r="Q28" s="247"/>
      <c r="R28" s="247"/>
      <c r="S28" s="247"/>
      <c r="T28" s="247"/>
      <c r="U28" s="250"/>
      <c r="V28" s="250"/>
      <c r="W28" s="250"/>
      <c r="X28" s="250"/>
    </row>
    <row r="29" spans="1:24" ht="11.25" customHeight="1">
      <c r="A29" s="247"/>
      <c r="B29" s="299" t="s">
        <v>194</v>
      </c>
      <c r="C29" s="247"/>
      <c r="D29" s="247"/>
      <c r="E29" s="250"/>
      <c r="F29" s="250"/>
      <c r="G29" s="250"/>
      <c r="H29" s="251"/>
      <c r="I29" s="299" t="s">
        <v>194</v>
      </c>
      <c r="J29" s="250"/>
      <c r="K29" s="250"/>
      <c r="L29" s="250"/>
      <c r="M29" s="250"/>
      <c r="N29" s="253"/>
      <c r="O29" s="254"/>
      <c r="P29" s="299" t="s">
        <v>194</v>
      </c>
      <c r="Q29" s="247"/>
      <c r="R29" s="247"/>
      <c r="S29" s="250"/>
      <c r="T29" s="250"/>
      <c r="U29" s="250"/>
      <c r="V29" s="250"/>
      <c r="W29" s="250"/>
      <c r="X29" s="250"/>
    </row>
    <row r="30" spans="1:24" ht="11.25" customHeight="1">
      <c r="A30" s="247"/>
      <c r="B30" s="299" t="s">
        <v>195</v>
      </c>
      <c r="C30" s="247"/>
      <c r="D30" s="247"/>
      <c r="E30" s="250"/>
      <c r="F30" s="250"/>
      <c r="G30" s="250"/>
      <c r="H30" s="251"/>
      <c r="I30" s="299" t="s">
        <v>195</v>
      </c>
      <c r="J30" s="250"/>
      <c r="K30" s="250"/>
      <c r="L30" s="250"/>
      <c r="M30" s="250"/>
      <c r="N30" s="253"/>
      <c r="O30" s="254"/>
      <c r="P30" s="299" t="s">
        <v>195</v>
      </c>
      <c r="Q30" s="247"/>
      <c r="R30" s="247"/>
      <c r="S30" s="250"/>
      <c r="T30" s="250"/>
      <c r="U30" s="250"/>
      <c r="V30" s="250"/>
      <c r="W30" s="250"/>
      <c r="X30" s="250"/>
    </row>
    <row r="31" spans="1:24" s="305" customFormat="1" ht="12">
      <c r="A31" s="300"/>
      <c r="B31" s="301" t="s">
        <v>196</v>
      </c>
      <c r="C31" s="301"/>
      <c r="D31" s="693" t="s">
        <v>197</v>
      </c>
      <c r="E31" s="693"/>
      <c r="F31" s="301" t="s">
        <v>198</v>
      </c>
      <c r="G31" s="300"/>
      <c r="H31" s="302"/>
      <c r="I31" s="301" t="s">
        <v>196</v>
      </c>
      <c r="J31" s="301"/>
      <c r="K31" s="693" t="s">
        <v>197</v>
      </c>
      <c r="L31" s="693"/>
      <c r="M31" s="301" t="s">
        <v>198</v>
      </c>
      <c r="N31" s="303"/>
      <c r="O31" s="304"/>
      <c r="P31" s="301" t="s">
        <v>196</v>
      </c>
      <c r="Q31" s="301"/>
      <c r="R31" s="693" t="s">
        <v>197</v>
      </c>
      <c r="S31" s="693"/>
      <c r="T31" s="301" t="s">
        <v>198</v>
      </c>
      <c r="U31" s="300"/>
      <c r="V31" s="300"/>
      <c r="W31" s="300"/>
      <c r="X31" s="300"/>
    </row>
    <row r="32" spans="1:24" s="305" customFormat="1" ht="12">
      <c r="A32" s="300"/>
      <c r="B32" s="301" t="s">
        <v>199</v>
      </c>
      <c r="C32" s="300"/>
      <c r="D32" s="306">
        <v>0.05</v>
      </c>
      <c r="E32" s="307"/>
      <c r="F32" s="308">
        <v>0</v>
      </c>
      <c r="G32" s="300"/>
      <c r="H32" s="302"/>
      <c r="I32" s="301" t="s">
        <v>200</v>
      </c>
      <c r="J32" s="307"/>
      <c r="K32" s="306">
        <v>0.05</v>
      </c>
      <c r="L32" s="307"/>
      <c r="M32" s="308">
        <v>0</v>
      </c>
      <c r="N32" s="303"/>
      <c r="O32" s="309"/>
      <c r="P32" s="301" t="s">
        <v>200</v>
      </c>
      <c r="Q32" s="307"/>
      <c r="R32" s="306">
        <v>0.05</v>
      </c>
      <c r="S32" s="307"/>
      <c r="T32" s="308">
        <v>0</v>
      </c>
      <c r="U32" s="300"/>
      <c r="V32" s="300"/>
      <c r="W32" s="300"/>
      <c r="X32" s="300"/>
    </row>
    <row r="33" spans="1:24" s="305" customFormat="1" ht="12">
      <c r="A33" s="300"/>
      <c r="B33" s="301" t="s">
        <v>201</v>
      </c>
      <c r="C33" s="300"/>
      <c r="D33" s="306">
        <v>0.1</v>
      </c>
      <c r="E33" s="307"/>
      <c r="F33" s="308">
        <v>25</v>
      </c>
      <c r="G33" s="300"/>
      <c r="H33" s="302"/>
      <c r="I33" s="301" t="s">
        <v>201</v>
      </c>
      <c r="J33" s="307"/>
      <c r="K33" s="306">
        <v>0.1</v>
      </c>
      <c r="L33" s="307"/>
      <c r="M33" s="308">
        <v>25</v>
      </c>
      <c r="N33" s="303"/>
      <c r="O33" s="304"/>
      <c r="P33" s="301" t="s">
        <v>201</v>
      </c>
      <c r="Q33" s="307"/>
      <c r="R33" s="306">
        <v>0.1</v>
      </c>
      <c r="S33" s="307"/>
      <c r="T33" s="308">
        <v>25</v>
      </c>
      <c r="U33" s="300"/>
      <c r="V33" s="300"/>
      <c r="W33" s="300"/>
      <c r="X33" s="300"/>
    </row>
    <row r="34" spans="1:24" s="305" customFormat="1" ht="12">
      <c r="A34" s="300"/>
      <c r="B34" s="301" t="s">
        <v>202</v>
      </c>
      <c r="C34" s="300"/>
      <c r="D34" s="306">
        <v>0.15</v>
      </c>
      <c r="E34" s="307"/>
      <c r="F34" s="308">
        <v>125</v>
      </c>
      <c r="G34" s="300"/>
      <c r="H34" s="302"/>
      <c r="I34" s="301" t="s">
        <v>202</v>
      </c>
      <c r="J34" s="307"/>
      <c r="K34" s="306">
        <v>0.15</v>
      </c>
      <c r="L34" s="307"/>
      <c r="M34" s="308">
        <v>125</v>
      </c>
      <c r="N34" s="303"/>
      <c r="O34" s="304"/>
      <c r="P34" s="301" t="s">
        <v>202</v>
      </c>
      <c r="Q34" s="307"/>
      <c r="R34" s="306">
        <v>0.15</v>
      </c>
      <c r="S34" s="307"/>
      <c r="T34" s="308">
        <v>125</v>
      </c>
      <c r="U34" s="300"/>
      <c r="V34" s="300"/>
      <c r="W34" s="300"/>
      <c r="X34" s="300"/>
    </row>
    <row r="35" spans="1:24" s="305" customFormat="1" ht="12">
      <c r="A35" s="300"/>
      <c r="B35" s="301" t="s">
        <v>203</v>
      </c>
      <c r="C35" s="300"/>
      <c r="D35" s="306">
        <v>0.2</v>
      </c>
      <c r="E35" s="307"/>
      <c r="F35" s="310">
        <v>375</v>
      </c>
      <c r="G35" s="300"/>
      <c r="H35" s="302"/>
      <c r="I35" s="301" t="s">
        <v>203</v>
      </c>
      <c r="J35" s="307"/>
      <c r="K35" s="306">
        <v>0.2</v>
      </c>
      <c r="L35" s="307"/>
      <c r="M35" s="310">
        <v>375</v>
      </c>
      <c r="N35" s="303"/>
      <c r="O35" s="309"/>
      <c r="P35" s="301" t="s">
        <v>203</v>
      </c>
      <c r="Q35" s="307"/>
      <c r="R35" s="306">
        <v>0.2</v>
      </c>
      <c r="S35" s="307"/>
      <c r="T35" s="310">
        <v>375</v>
      </c>
      <c r="U35" s="300"/>
      <c r="V35" s="300"/>
      <c r="W35" s="300"/>
      <c r="X35" s="300"/>
    </row>
    <row r="36" spans="1:24" s="305" customFormat="1" ht="12">
      <c r="A36" s="300"/>
      <c r="B36" s="301" t="s">
        <v>204</v>
      </c>
      <c r="C36" s="300"/>
      <c r="D36" s="306">
        <v>0.25</v>
      </c>
      <c r="E36" s="307"/>
      <c r="F36" s="310">
        <v>1375</v>
      </c>
      <c r="G36" s="300"/>
      <c r="H36" s="302"/>
      <c r="I36" s="301" t="s">
        <v>204</v>
      </c>
      <c r="J36" s="307"/>
      <c r="K36" s="306">
        <v>0.25</v>
      </c>
      <c r="L36" s="307"/>
      <c r="M36" s="310">
        <v>1375</v>
      </c>
      <c r="N36" s="303"/>
      <c r="O36" s="309"/>
      <c r="P36" s="301" t="s">
        <v>204</v>
      </c>
      <c r="Q36" s="307"/>
      <c r="R36" s="306">
        <v>0.25</v>
      </c>
      <c r="S36" s="307"/>
      <c r="T36" s="310">
        <v>1375</v>
      </c>
      <c r="U36" s="300"/>
      <c r="V36" s="300"/>
      <c r="W36" s="300"/>
      <c r="X36" s="300"/>
    </row>
    <row r="37" spans="1:24" s="305" customFormat="1" ht="12">
      <c r="A37" s="300"/>
      <c r="B37" s="301" t="s">
        <v>205</v>
      </c>
      <c r="C37" s="300"/>
      <c r="D37" s="306">
        <v>0.3</v>
      </c>
      <c r="E37" s="307"/>
      <c r="F37" s="310">
        <v>3375</v>
      </c>
      <c r="G37" s="300"/>
      <c r="H37" s="302"/>
      <c r="I37" s="301" t="s">
        <v>205</v>
      </c>
      <c r="J37" s="307"/>
      <c r="K37" s="306">
        <v>0.3</v>
      </c>
      <c r="L37" s="307"/>
      <c r="M37" s="310">
        <v>3375</v>
      </c>
      <c r="N37" s="303"/>
      <c r="O37" s="309"/>
      <c r="P37" s="301" t="s">
        <v>205</v>
      </c>
      <c r="Q37" s="307"/>
      <c r="R37" s="306">
        <v>0.3</v>
      </c>
      <c r="S37" s="307"/>
      <c r="T37" s="310">
        <v>3375</v>
      </c>
      <c r="U37" s="300"/>
      <c r="V37" s="300"/>
      <c r="W37" s="300"/>
      <c r="X37" s="300"/>
    </row>
    <row r="38" spans="1:24" s="305" customFormat="1" ht="12">
      <c r="A38" s="300"/>
      <c r="B38" s="301" t="s">
        <v>206</v>
      </c>
      <c r="C38" s="300"/>
      <c r="D38" s="306">
        <v>0.35</v>
      </c>
      <c r="E38" s="307"/>
      <c r="F38" s="310">
        <v>6375</v>
      </c>
      <c r="G38" s="300"/>
      <c r="H38" s="302"/>
      <c r="I38" s="301" t="s">
        <v>206</v>
      </c>
      <c r="J38" s="307"/>
      <c r="K38" s="306">
        <v>0.35</v>
      </c>
      <c r="L38" s="307"/>
      <c r="M38" s="310">
        <v>6375</v>
      </c>
      <c r="N38" s="303"/>
      <c r="O38" s="309"/>
      <c r="P38" s="301" t="s">
        <v>206</v>
      </c>
      <c r="Q38" s="307"/>
      <c r="R38" s="306">
        <v>0.35</v>
      </c>
      <c r="S38" s="307"/>
      <c r="T38" s="310">
        <v>6375</v>
      </c>
      <c r="U38" s="300"/>
      <c r="V38" s="300"/>
      <c r="W38" s="300"/>
      <c r="X38" s="300"/>
    </row>
    <row r="39" spans="1:24" ht="4.5" customHeight="1">
      <c r="A39" s="250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1"/>
      <c r="O39" s="1"/>
      <c r="P39" s="250"/>
      <c r="Q39" s="250"/>
      <c r="R39" s="250"/>
      <c r="S39" s="250"/>
      <c r="T39" s="250"/>
      <c r="U39" s="250"/>
      <c r="V39" s="250"/>
      <c r="W39" s="250"/>
      <c r="X39" s="250"/>
    </row>
    <row r="40" spans="1:24">
      <c r="A40" s="250"/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1"/>
      <c r="O40" s="1"/>
      <c r="P40" s="250"/>
      <c r="Q40" s="250"/>
      <c r="R40" s="250"/>
      <c r="S40" s="250"/>
      <c r="T40" s="250"/>
      <c r="U40" s="250"/>
      <c r="V40" s="250"/>
      <c r="W40" s="250"/>
      <c r="X40" s="250"/>
    </row>
    <row r="41" spans="1:24">
      <c r="A41" s="250"/>
      <c r="B41" s="250"/>
      <c r="C41" s="250"/>
      <c r="D41" s="250"/>
      <c r="E41" s="250"/>
      <c r="F41" s="250"/>
      <c r="G41" s="250"/>
      <c r="H41" s="250"/>
      <c r="I41" s="250"/>
      <c r="J41" s="250"/>
      <c r="K41" s="250"/>
      <c r="L41" s="250"/>
      <c r="M41" s="250"/>
      <c r="N41" s="1"/>
      <c r="O41" s="1"/>
      <c r="P41" s="250"/>
      <c r="Q41" s="250"/>
      <c r="R41" s="250"/>
      <c r="S41" s="250"/>
      <c r="T41" s="250"/>
      <c r="U41" s="250"/>
      <c r="V41" s="250"/>
      <c r="W41" s="250"/>
      <c r="X41" s="250"/>
    </row>
    <row r="42" spans="1:24">
      <c r="A42" s="250"/>
      <c r="B42" s="250"/>
      <c r="C42" s="250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1"/>
      <c r="O42" s="1"/>
      <c r="P42" s="250"/>
      <c r="Q42" s="250"/>
      <c r="R42" s="250"/>
      <c r="S42" s="250"/>
      <c r="T42" s="250"/>
      <c r="U42" s="250"/>
      <c r="V42" s="250"/>
      <c r="W42" s="250"/>
      <c r="X42" s="250"/>
    </row>
    <row r="43" spans="1:24">
      <c r="A43" s="250"/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1"/>
      <c r="O43" s="1"/>
      <c r="P43" s="250"/>
      <c r="Q43" s="250"/>
      <c r="R43" s="250"/>
      <c r="S43" s="250"/>
      <c r="T43" s="250"/>
      <c r="U43" s="250"/>
      <c r="V43" s="250"/>
      <c r="W43" s="250"/>
      <c r="X43" s="250"/>
    </row>
    <row r="44" spans="1:24">
      <c r="A44" s="250"/>
      <c r="B44" s="250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1"/>
      <c r="O44" s="1"/>
      <c r="P44" s="250"/>
      <c r="Q44" s="250"/>
      <c r="R44" s="250"/>
      <c r="S44" s="250"/>
      <c r="T44" s="250"/>
      <c r="U44" s="250"/>
      <c r="V44" s="250"/>
      <c r="W44" s="250"/>
      <c r="X44" s="250"/>
    </row>
    <row r="45" spans="1:24">
      <c r="A45" s="250"/>
      <c r="B45" s="250"/>
      <c r="C45" s="250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1"/>
      <c r="O45" s="1"/>
      <c r="P45" s="250"/>
      <c r="Q45" s="250"/>
      <c r="R45" s="250"/>
      <c r="S45" s="250"/>
      <c r="T45" s="250"/>
      <c r="U45" s="250"/>
      <c r="V45" s="250"/>
      <c r="W45" s="250"/>
      <c r="X45" s="250"/>
    </row>
    <row r="46" spans="1:24">
      <c r="A46" s="250"/>
      <c r="B46" s="250"/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1"/>
      <c r="O46" s="1"/>
      <c r="P46" s="250"/>
      <c r="Q46" s="250"/>
      <c r="R46" s="250"/>
      <c r="S46" s="250"/>
      <c r="T46" s="250"/>
      <c r="U46" s="250"/>
      <c r="V46" s="250"/>
      <c r="W46" s="250"/>
      <c r="X46" s="250"/>
    </row>
    <row r="47" spans="1:24">
      <c r="A47" s="250"/>
      <c r="B47" s="250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1"/>
      <c r="O47" s="1"/>
      <c r="P47" s="250"/>
      <c r="Q47" s="250"/>
      <c r="R47" s="250"/>
      <c r="S47" s="250"/>
      <c r="T47" s="250"/>
      <c r="U47" s="250"/>
      <c r="V47" s="250"/>
      <c r="W47" s="250"/>
      <c r="X47" s="250"/>
    </row>
    <row r="48" spans="1:24">
      <c r="A48" s="250"/>
      <c r="B48" s="250"/>
      <c r="C48" s="250"/>
      <c r="D48" s="250"/>
      <c r="E48" s="250"/>
      <c r="F48" s="250"/>
      <c r="G48" s="250"/>
      <c r="H48" s="250"/>
      <c r="I48" s="250"/>
      <c r="J48" s="250"/>
      <c r="K48" s="250"/>
      <c r="L48" s="250"/>
      <c r="M48" s="250"/>
      <c r="N48" s="1"/>
      <c r="O48" s="1"/>
      <c r="P48" s="250"/>
      <c r="Q48" s="250"/>
      <c r="R48" s="250"/>
      <c r="S48" s="250"/>
      <c r="T48" s="250"/>
      <c r="U48" s="250"/>
      <c r="V48" s="250"/>
      <c r="W48" s="250"/>
      <c r="X48" s="250"/>
    </row>
    <row r="49" spans="1:24">
      <c r="A49" s="250"/>
      <c r="B49" s="250"/>
      <c r="C49" s="250"/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1"/>
      <c r="O49" s="1"/>
      <c r="P49" s="250"/>
      <c r="Q49" s="250"/>
      <c r="R49" s="250"/>
      <c r="S49" s="250"/>
      <c r="T49" s="250"/>
      <c r="U49" s="250"/>
      <c r="V49" s="250"/>
      <c r="W49" s="250"/>
      <c r="X49" s="250"/>
    </row>
    <row r="50" spans="1:24">
      <c r="A50" s="250"/>
      <c r="B50" s="250"/>
      <c r="C50" s="250"/>
      <c r="D50" s="250"/>
      <c r="E50" s="250"/>
      <c r="F50" s="250"/>
      <c r="G50" s="250"/>
      <c r="H50" s="250"/>
      <c r="I50" s="250"/>
      <c r="J50" s="250"/>
      <c r="K50" s="250"/>
      <c r="L50" s="250"/>
      <c r="M50" s="250"/>
      <c r="N50" s="1"/>
      <c r="O50" s="1"/>
      <c r="P50" s="250"/>
      <c r="Q50" s="250"/>
      <c r="R50" s="250"/>
      <c r="S50" s="250"/>
      <c r="T50" s="250"/>
      <c r="U50" s="250"/>
      <c r="V50" s="250"/>
      <c r="W50" s="250"/>
      <c r="X50" s="250"/>
    </row>
    <row r="51" spans="1:24">
      <c r="A51" s="250"/>
      <c r="B51" s="250"/>
      <c r="C51" s="250"/>
      <c r="D51" s="250"/>
      <c r="E51" s="250"/>
      <c r="F51" s="250"/>
      <c r="G51" s="250"/>
      <c r="H51" s="250"/>
      <c r="I51" s="250"/>
      <c r="J51" s="250"/>
      <c r="K51" s="250"/>
      <c r="L51" s="250"/>
      <c r="M51" s="250"/>
      <c r="N51" s="1"/>
      <c r="O51" s="1"/>
      <c r="P51" s="250"/>
      <c r="Q51" s="250"/>
      <c r="R51" s="250"/>
      <c r="S51" s="250"/>
      <c r="T51" s="250"/>
      <c r="U51" s="250"/>
      <c r="V51" s="250"/>
      <c r="W51" s="250"/>
      <c r="X51" s="250"/>
    </row>
    <row r="52" spans="1:24">
      <c r="A52" s="250"/>
      <c r="B52" s="250"/>
      <c r="C52" s="250"/>
      <c r="D52" s="250"/>
      <c r="E52" s="250"/>
      <c r="F52" s="250"/>
      <c r="G52" s="250"/>
      <c r="H52" s="250"/>
      <c r="I52" s="250"/>
      <c r="J52" s="250"/>
      <c r="K52" s="250"/>
      <c r="L52" s="250"/>
      <c r="M52" s="250"/>
      <c r="N52" s="1"/>
      <c r="O52" s="1"/>
      <c r="P52" s="250"/>
      <c r="Q52" s="250"/>
      <c r="R52" s="250"/>
      <c r="S52" s="250"/>
      <c r="T52" s="250"/>
      <c r="U52" s="250"/>
      <c r="V52" s="250"/>
      <c r="W52" s="250"/>
      <c r="X52" s="250"/>
    </row>
    <row r="53" spans="1:24">
      <c r="A53" s="250"/>
      <c r="B53" s="250"/>
      <c r="C53" s="250"/>
      <c r="D53" s="250"/>
      <c r="E53" s="250"/>
      <c r="F53" s="250"/>
      <c r="G53" s="250"/>
      <c r="H53" s="250"/>
      <c r="I53" s="250"/>
      <c r="J53" s="250"/>
      <c r="K53" s="250"/>
      <c r="L53" s="250"/>
      <c r="M53" s="250"/>
      <c r="N53" s="1"/>
      <c r="O53" s="1"/>
      <c r="P53" s="250"/>
      <c r="Q53" s="250"/>
      <c r="R53" s="250"/>
      <c r="S53" s="250"/>
      <c r="T53" s="250"/>
      <c r="U53" s="250"/>
      <c r="V53" s="250"/>
      <c r="W53" s="250"/>
      <c r="X53" s="250"/>
    </row>
    <row r="54" spans="1:24">
      <c r="A54" s="250"/>
      <c r="B54" s="250"/>
      <c r="C54" s="250"/>
      <c r="D54" s="250"/>
      <c r="E54" s="250"/>
      <c r="F54" s="250"/>
      <c r="G54" s="250"/>
      <c r="H54" s="250"/>
      <c r="I54" s="250"/>
      <c r="J54" s="250"/>
      <c r="K54" s="250"/>
      <c r="L54" s="250"/>
      <c r="M54" s="250"/>
      <c r="N54" s="1"/>
      <c r="O54" s="1"/>
      <c r="P54" s="250"/>
      <c r="Q54" s="250"/>
      <c r="R54" s="250"/>
      <c r="S54" s="250"/>
      <c r="T54" s="250"/>
      <c r="U54" s="250"/>
      <c r="V54" s="250"/>
      <c r="W54" s="250"/>
      <c r="X54" s="250"/>
    </row>
    <row r="55" spans="1:24" ht="16">
      <c r="A55" s="250"/>
      <c r="B55" s="311"/>
      <c r="C55" s="259"/>
      <c r="D55" s="259"/>
      <c r="E55" s="259"/>
      <c r="F55" s="259"/>
      <c r="G55" s="250"/>
      <c r="H55" s="250"/>
      <c r="I55" s="250"/>
      <c r="J55" s="250"/>
      <c r="K55" s="250"/>
      <c r="L55" s="250"/>
      <c r="M55" s="250"/>
      <c r="N55" s="1"/>
      <c r="O55" s="1"/>
      <c r="P55" s="250"/>
      <c r="Q55" s="250"/>
      <c r="R55" s="250"/>
      <c r="S55" s="250"/>
      <c r="T55" s="250"/>
      <c r="U55" s="250"/>
      <c r="V55" s="250"/>
      <c r="W55" s="250"/>
      <c r="X55" s="250"/>
    </row>
    <row r="56" spans="1:24">
      <c r="A56" s="250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50"/>
      <c r="M56" s="250"/>
      <c r="N56" s="1"/>
      <c r="O56" s="1"/>
      <c r="P56" s="250"/>
      <c r="Q56" s="250"/>
      <c r="R56" s="250"/>
      <c r="S56" s="250"/>
      <c r="T56" s="250"/>
      <c r="U56" s="250"/>
      <c r="V56" s="250"/>
      <c r="W56" s="250"/>
      <c r="X56" s="250"/>
    </row>
    <row r="57" spans="1:24">
      <c r="A57" s="250"/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1"/>
      <c r="O57" s="1"/>
      <c r="P57" s="250"/>
      <c r="Q57" s="250"/>
      <c r="R57" s="250"/>
      <c r="S57" s="250"/>
      <c r="T57" s="250"/>
      <c r="U57" s="250"/>
      <c r="V57" s="250"/>
      <c r="W57" s="250"/>
      <c r="X57" s="250"/>
    </row>
    <row r="58" spans="1:24">
      <c r="A58" s="250"/>
      <c r="B58" s="250"/>
      <c r="C58" s="250"/>
      <c r="D58" s="250"/>
      <c r="E58" s="250"/>
      <c r="F58" s="250"/>
      <c r="G58" s="250"/>
      <c r="H58" s="250"/>
      <c r="I58" s="250"/>
      <c r="J58" s="250"/>
      <c r="K58" s="250"/>
      <c r="L58" s="250"/>
      <c r="M58" s="250"/>
      <c r="N58" s="1"/>
      <c r="O58" s="1"/>
      <c r="P58" s="250"/>
      <c r="Q58" s="250"/>
      <c r="R58" s="250"/>
      <c r="S58" s="250"/>
      <c r="T58" s="250"/>
      <c r="U58" s="250"/>
      <c r="V58" s="250"/>
      <c r="W58" s="250"/>
      <c r="X58" s="250"/>
    </row>
    <row r="59" spans="1:24">
      <c r="A59" s="250"/>
      <c r="B59" s="250"/>
      <c r="C59" s="250"/>
      <c r="D59" s="250"/>
      <c r="E59" s="250"/>
      <c r="F59" s="250"/>
      <c r="G59" s="250"/>
      <c r="H59" s="250"/>
      <c r="I59" s="250"/>
      <c r="J59" s="250"/>
      <c r="K59" s="250"/>
      <c r="L59" s="250"/>
      <c r="M59" s="250"/>
      <c r="N59" s="1"/>
      <c r="O59" s="1"/>
      <c r="P59" s="250"/>
      <c r="Q59" s="250"/>
      <c r="R59" s="250"/>
      <c r="S59" s="250"/>
      <c r="T59" s="250"/>
      <c r="U59" s="250"/>
      <c r="V59" s="250"/>
      <c r="W59" s="250"/>
      <c r="X59" s="250"/>
    </row>
    <row r="60" spans="1:24">
      <c r="A60" s="250"/>
      <c r="B60" s="250"/>
      <c r="C60" s="250"/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1"/>
      <c r="O60" s="1"/>
      <c r="P60" s="250"/>
      <c r="Q60" s="250"/>
      <c r="R60" s="250"/>
      <c r="S60" s="250"/>
      <c r="T60" s="250"/>
      <c r="U60" s="250"/>
      <c r="V60" s="250"/>
      <c r="W60" s="250"/>
      <c r="X60" s="250"/>
    </row>
    <row r="61" spans="1:24">
      <c r="A61" s="250"/>
      <c r="B61" s="250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1"/>
      <c r="O61" s="1"/>
      <c r="P61" s="250"/>
      <c r="Q61" s="250"/>
      <c r="R61" s="250"/>
      <c r="S61" s="250"/>
      <c r="T61" s="250"/>
      <c r="U61" s="250"/>
      <c r="V61" s="250"/>
      <c r="W61" s="250"/>
      <c r="X61" s="250"/>
    </row>
  </sheetData>
  <mergeCells count="57">
    <mergeCell ref="F5:F6"/>
    <mergeCell ref="M5:M6"/>
    <mergeCell ref="T5:T6"/>
    <mergeCell ref="C6:D6"/>
    <mergeCell ref="J6:K6"/>
    <mergeCell ref="Q6:R6"/>
    <mergeCell ref="D7:E7"/>
    <mergeCell ref="K7:L7"/>
    <mergeCell ref="R7:S7"/>
    <mergeCell ref="B8:D8"/>
    <mergeCell ref="I8:K8"/>
    <mergeCell ref="P8:R8"/>
    <mergeCell ref="B10:D10"/>
    <mergeCell ref="I10:K10"/>
    <mergeCell ref="P10:R10"/>
    <mergeCell ref="B11:D11"/>
    <mergeCell ref="I11:K11"/>
    <mergeCell ref="P11:R11"/>
    <mergeCell ref="B12:D12"/>
    <mergeCell ref="I12:K12"/>
    <mergeCell ref="P12:R12"/>
    <mergeCell ref="B13:D13"/>
    <mergeCell ref="I13:K13"/>
    <mergeCell ref="P13:R13"/>
    <mergeCell ref="B14:D14"/>
    <mergeCell ref="I14:K14"/>
    <mergeCell ref="P14:R14"/>
    <mergeCell ref="B15:D15"/>
    <mergeCell ref="I15:K15"/>
    <mergeCell ref="P15:R15"/>
    <mergeCell ref="B16:D16"/>
    <mergeCell ref="I16:K16"/>
    <mergeCell ref="P16:R16"/>
    <mergeCell ref="B17:D17"/>
    <mergeCell ref="I17:K17"/>
    <mergeCell ref="P17:R17"/>
    <mergeCell ref="B20:D20"/>
    <mergeCell ref="I20:K20"/>
    <mergeCell ref="P20:R20"/>
    <mergeCell ref="B21:D21"/>
    <mergeCell ref="I21:K21"/>
    <mergeCell ref="P21:R21"/>
    <mergeCell ref="B22:D22"/>
    <mergeCell ref="I22:K22"/>
    <mergeCell ref="P22:R22"/>
    <mergeCell ref="B23:D23"/>
    <mergeCell ref="I23:K23"/>
    <mergeCell ref="P23:R23"/>
    <mergeCell ref="D31:E31"/>
    <mergeCell ref="K31:L31"/>
    <mergeCell ref="R31:S31"/>
    <mergeCell ref="B24:D24"/>
    <mergeCell ref="I24:K24"/>
    <mergeCell ref="P24:R24"/>
    <mergeCell ref="B26:D26"/>
    <mergeCell ref="I26:K26"/>
    <mergeCell ref="P26:R26"/>
  </mergeCells>
  <phoneticPr fontId="3" type="noConversion"/>
  <printOptions horizontalCentered="1"/>
  <pageMargins left="0.11811023622047245" right="0.11811023622047245" top="0.15748031496062992" bottom="0.15" header="0.11811023622047245" footer="0.1"/>
  <pageSetup paperSize="9" orientation="landscape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52"/>
  <sheetViews>
    <sheetView showZeros="0" topLeftCell="A10" workbookViewId="0">
      <selection activeCell="F30" sqref="F30"/>
    </sheetView>
  </sheetViews>
  <sheetFormatPr defaultColWidth="9" defaultRowHeight="13"/>
  <cols>
    <col min="1" max="1" width="6.25" style="111" customWidth="1"/>
    <col min="2" max="2" width="17.75" style="111" customWidth="1"/>
    <col min="3" max="3" width="9.25" style="111" bestFit="1" customWidth="1"/>
    <col min="4" max="4" width="7.75" style="111" customWidth="1"/>
    <col min="5" max="6" width="9.08203125" style="111" bestFit="1" customWidth="1"/>
    <col min="7" max="7" width="10.5" style="111" customWidth="1"/>
    <col min="8" max="8" width="10.58203125" style="111" customWidth="1"/>
    <col min="9" max="9" width="7" style="111" customWidth="1"/>
    <col min="10" max="10" width="7.75" style="111" customWidth="1"/>
    <col min="11" max="11" width="9.08203125" style="111" bestFit="1" customWidth="1"/>
    <col min="12" max="12" width="11.08203125" style="111" customWidth="1"/>
    <col min="13" max="16384" width="9" style="111"/>
  </cols>
  <sheetData>
    <row r="1" spans="1:16">
      <c r="A1" s="109"/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2" spans="1:16" ht="17.5">
      <c r="A2" s="312" t="s">
        <v>207</v>
      </c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109"/>
      <c r="N2" s="109"/>
      <c r="O2" s="109"/>
      <c r="P2" s="109"/>
    </row>
    <row r="3" spans="1:16" ht="5.25" customHeight="1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17.25" customHeight="1">
      <c r="A4" s="113" t="s">
        <v>208</v>
      </c>
      <c r="B4" s="113"/>
      <c r="C4" s="314">
        <v>12345678</v>
      </c>
      <c r="D4" s="314"/>
      <c r="E4" s="314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ht="17.25" customHeight="1">
      <c r="A5" s="113" t="s">
        <v>209</v>
      </c>
      <c r="B5" s="113"/>
      <c r="C5" s="314">
        <v>87654321</v>
      </c>
      <c r="D5" s="314"/>
      <c r="E5" s="314"/>
      <c r="F5" s="113" t="s">
        <v>210</v>
      </c>
      <c r="G5" s="113"/>
      <c r="H5" s="315">
        <v>38322</v>
      </c>
      <c r="I5" s="314"/>
      <c r="J5" s="731" t="s">
        <v>211</v>
      </c>
      <c r="K5" s="731"/>
      <c r="L5" s="316">
        <v>38354</v>
      </c>
      <c r="M5" s="109"/>
      <c r="N5" s="109"/>
      <c r="O5" s="109"/>
      <c r="P5" s="109"/>
    </row>
    <row r="6" spans="1:16" ht="17.25" customHeight="1">
      <c r="A6" s="109" t="s">
        <v>212</v>
      </c>
      <c r="B6" s="109"/>
      <c r="C6" s="109"/>
      <c r="D6" s="109"/>
      <c r="E6" s="109"/>
      <c r="F6" s="109"/>
      <c r="G6" s="109"/>
      <c r="H6" s="109"/>
      <c r="I6" s="109"/>
      <c r="J6" s="109"/>
      <c r="K6" s="109" t="s">
        <v>213</v>
      </c>
      <c r="L6" s="317"/>
      <c r="M6" s="109"/>
      <c r="N6" s="109"/>
      <c r="O6" s="109"/>
      <c r="P6" s="109"/>
    </row>
    <row r="7" spans="1:16">
      <c r="A7" s="109" t="s">
        <v>214</v>
      </c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</row>
    <row r="8" spans="1:16">
      <c r="A8" s="109"/>
      <c r="B8" s="109"/>
      <c r="C8" s="109"/>
      <c r="D8" s="109"/>
      <c r="E8" s="109"/>
      <c r="F8" s="109"/>
      <c r="G8" s="109"/>
      <c r="H8" s="109"/>
      <c r="I8" s="109"/>
      <c r="J8" s="109" t="s">
        <v>215</v>
      </c>
      <c r="K8" s="109"/>
      <c r="L8" s="109"/>
      <c r="M8" s="109"/>
      <c r="N8" s="109"/>
      <c r="O8" s="109"/>
      <c r="P8" s="109"/>
    </row>
    <row r="9" spans="1:16" ht="3.75" customHeight="1">
      <c r="A9" s="109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</row>
    <row r="10" spans="1:16" ht="17.25" customHeight="1">
      <c r="A10" s="732" t="s">
        <v>216</v>
      </c>
      <c r="B10" s="733"/>
      <c r="C10" s="733">
        <v>9</v>
      </c>
      <c r="D10" s="733"/>
      <c r="E10" s="733"/>
      <c r="F10" s="733" t="s">
        <v>217</v>
      </c>
      <c r="G10" s="733"/>
      <c r="H10" s="734">
        <f>工资计算!Y61</f>
        <v>0</v>
      </c>
      <c r="I10" s="734"/>
      <c r="J10" s="733" t="s">
        <v>218</v>
      </c>
      <c r="K10" s="733"/>
      <c r="L10" s="319">
        <f>工资计算!AJ61</f>
        <v>0</v>
      </c>
      <c r="M10" s="109"/>
      <c r="N10" s="109"/>
      <c r="O10" s="109"/>
      <c r="P10" s="109"/>
    </row>
    <row r="11" spans="1:16" ht="17.25" customHeight="1">
      <c r="A11" s="735" t="s">
        <v>219</v>
      </c>
      <c r="B11" s="725"/>
      <c r="C11" s="725">
        <v>9</v>
      </c>
      <c r="D11" s="725"/>
      <c r="E11" s="725"/>
      <c r="F11" s="725" t="s">
        <v>220</v>
      </c>
      <c r="G11" s="725"/>
      <c r="H11" s="724">
        <f>工资计算!AV61</f>
        <v>0</v>
      </c>
      <c r="I11" s="724"/>
      <c r="J11" s="725" t="s">
        <v>221</v>
      </c>
      <c r="K11" s="725"/>
      <c r="L11" s="321" t="e">
        <f>SUM(L17:L45)</f>
        <v>#REF!</v>
      </c>
      <c r="M11" s="109"/>
      <c r="N11" s="109"/>
      <c r="O11" s="109"/>
      <c r="P11" s="109"/>
    </row>
    <row r="12" spans="1:16" ht="17.25" customHeight="1">
      <c r="A12" s="735" t="s">
        <v>222</v>
      </c>
      <c r="B12" s="725"/>
      <c r="C12" s="725">
        <v>0</v>
      </c>
      <c r="D12" s="725"/>
      <c r="E12" s="725"/>
      <c r="F12" s="725" t="s">
        <v>223</v>
      </c>
      <c r="G12" s="725"/>
      <c r="H12" s="724">
        <f>工资计算!AW61</f>
        <v>0</v>
      </c>
      <c r="I12" s="724"/>
      <c r="J12" s="725" t="s">
        <v>224</v>
      </c>
      <c r="K12" s="725"/>
      <c r="L12" s="321">
        <v>0</v>
      </c>
      <c r="M12" s="109"/>
      <c r="N12" s="109"/>
      <c r="O12" s="109"/>
      <c r="P12" s="109"/>
    </row>
    <row r="13" spans="1:16" ht="17.25" customHeight="1">
      <c r="A13" s="728" t="s">
        <v>225</v>
      </c>
      <c r="B13" s="723"/>
      <c r="C13" s="723">
        <v>0</v>
      </c>
      <c r="D13" s="723"/>
      <c r="E13" s="723"/>
      <c r="F13" s="723" t="s">
        <v>226</v>
      </c>
      <c r="G13" s="723"/>
      <c r="H13" s="730">
        <f>SUM(J17:J45)</f>
        <v>0</v>
      </c>
      <c r="I13" s="723"/>
      <c r="J13" s="723" t="s">
        <v>227</v>
      </c>
      <c r="K13" s="723"/>
      <c r="L13" s="322" t="s">
        <v>228</v>
      </c>
      <c r="M13" s="109"/>
      <c r="N13" s="109"/>
      <c r="O13" s="109"/>
      <c r="P13" s="109"/>
    </row>
    <row r="14" spans="1:16" ht="3.75" customHeight="1">
      <c r="A14" s="109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</row>
    <row r="15" spans="1:16" ht="15.75" customHeight="1">
      <c r="A15" s="729" t="s">
        <v>229</v>
      </c>
      <c r="B15" s="726" t="s">
        <v>230</v>
      </c>
      <c r="C15" s="726" t="s">
        <v>231</v>
      </c>
      <c r="D15" s="726" t="s">
        <v>232</v>
      </c>
      <c r="E15" s="726" t="s">
        <v>233</v>
      </c>
      <c r="F15" s="726" t="s">
        <v>234</v>
      </c>
      <c r="G15" s="726" t="s">
        <v>235</v>
      </c>
      <c r="H15" s="726" t="s">
        <v>223</v>
      </c>
      <c r="I15" s="726" t="s">
        <v>236</v>
      </c>
      <c r="J15" s="726" t="s">
        <v>226</v>
      </c>
      <c r="K15" s="727" t="s">
        <v>237</v>
      </c>
      <c r="L15" s="722" t="s">
        <v>221</v>
      </c>
      <c r="M15" s="109"/>
      <c r="N15" s="109"/>
      <c r="O15" s="109"/>
      <c r="P15" s="109"/>
    </row>
    <row r="16" spans="1:16" ht="17.25" customHeight="1">
      <c r="A16" s="729"/>
      <c r="B16" s="726"/>
      <c r="C16" s="726"/>
      <c r="D16" s="726"/>
      <c r="E16" s="726"/>
      <c r="F16" s="726"/>
      <c r="G16" s="726"/>
      <c r="H16" s="726"/>
      <c r="I16" s="726"/>
      <c r="J16" s="726"/>
      <c r="K16" s="727"/>
      <c r="L16" s="722"/>
      <c r="M16" s="109"/>
      <c r="N16" s="109"/>
      <c r="O16" s="109"/>
      <c r="P16" s="109"/>
    </row>
    <row r="17" spans="1:16" ht="17.25" customHeight="1">
      <c r="A17" s="323">
        <v>1</v>
      </c>
      <c r="B17" s="324">
        <f>工资计算!AS3</f>
        <v>0</v>
      </c>
      <c r="C17" s="325" t="str">
        <f>工资计算!I3</f>
        <v>ABC</v>
      </c>
      <c r="D17" s="326" t="s">
        <v>238</v>
      </c>
      <c r="E17" s="327">
        <v>1901</v>
      </c>
      <c r="F17" s="326" t="s">
        <v>239</v>
      </c>
      <c r="G17" s="328">
        <f>工资计算!AV3</f>
        <v>0</v>
      </c>
      <c r="H17" s="328">
        <f>工资计算!AW3</f>
        <v>0</v>
      </c>
      <c r="I17" s="330">
        <f>工资计算!AX3</f>
        <v>0</v>
      </c>
      <c r="J17" s="329">
        <v>0</v>
      </c>
      <c r="K17" s="330">
        <v>0</v>
      </c>
      <c r="L17" s="331">
        <f>工资计算!AY3</f>
        <v>0</v>
      </c>
      <c r="M17" s="109"/>
      <c r="N17" s="109"/>
      <c r="O17" s="109"/>
      <c r="P17" s="109"/>
    </row>
    <row r="18" spans="1:16" ht="17.25" customHeight="1">
      <c r="A18" s="332">
        <v>2</v>
      </c>
      <c r="B18" s="333">
        <f>工资计算!AS4</f>
        <v>0</v>
      </c>
      <c r="C18" s="334" t="str">
        <f>工资计算!I4</f>
        <v>CBD</v>
      </c>
      <c r="D18" s="335" t="s">
        <v>238</v>
      </c>
      <c r="E18" s="336">
        <v>1901</v>
      </c>
      <c r="F18" s="335" t="s">
        <v>239</v>
      </c>
      <c r="G18" s="337">
        <f>工资计算!AV4</f>
        <v>0</v>
      </c>
      <c r="H18" s="337">
        <f>工资计算!AW4</f>
        <v>0</v>
      </c>
      <c r="I18" s="339">
        <f>工资计算!AX4</f>
        <v>0</v>
      </c>
      <c r="J18" s="338">
        <v>0</v>
      </c>
      <c r="K18" s="339">
        <v>0</v>
      </c>
      <c r="L18" s="340">
        <f>工资计算!AY4</f>
        <v>0</v>
      </c>
      <c r="M18" s="109"/>
      <c r="N18" s="109"/>
      <c r="O18" s="109"/>
      <c r="P18" s="109"/>
    </row>
    <row r="19" spans="1:16" ht="17.25" customHeight="1">
      <c r="A19" s="332">
        <v>3</v>
      </c>
      <c r="B19" s="333">
        <f>工资计算!AS5</f>
        <v>0</v>
      </c>
      <c r="C19" s="334">
        <f>工资计算!I5</f>
        <v>0</v>
      </c>
      <c r="D19" s="335" t="s">
        <v>47</v>
      </c>
      <c r="E19" s="336">
        <v>1901</v>
      </c>
      <c r="F19" s="335" t="s">
        <v>240</v>
      </c>
      <c r="G19" s="337">
        <f>工资计算!AV5</f>
        <v>0</v>
      </c>
      <c r="H19" s="337">
        <f>工资计算!AW5</f>
        <v>0</v>
      </c>
      <c r="I19" s="339">
        <f>工资计算!AX5</f>
        <v>0</v>
      </c>
      <c r="J19" s="338">
        <v>0</v>
      </c>
      <c r="K19" s="339">
        <v>0</v>
      </c>
      <c r="L19" s="340">
        <f>工资计算!AY5</f>
        <v>0</v>
      </c>
      <c r="M19" s="109"/>
      <c r="N19" s="109"/>
      <c r="O19" s="109"/>
      <c r="P19" s="109"/>
    </row>
    <row r="20" spans="1:16" ht="17.25" customHeight="1">
      <c r="A20" s="332">
        <v>4</v>
      </c>
      <c r="B20" s="333" t="e">
        <f>工资计算!#REF!</f>
        <v>#REF!</v>
      </c>
      <c r="C20" s="334" t="e">
        <f>工资计算!#REF!</f>
        <v>#REF!</v>
      </c>
      <c r="D20" s="335" t="s">
        <v>47</v>
      </c>
      <c r="E20" s="336">
        <v>1901</v>
      </c>
      <c r="F20" s="335" t="s">
        <v>240</v>
      </c>
      <c r="G20" s="337" t="e">
        <f>工资计算!#REF!</f>
        <v>#REF!</v>
      </c>
      <c r="H20" s="337" t="e">
        <f>工资计算!#REF!</f>
        <v>#REF!</v>
      </c>
      <c r="I20" s="339" t="e">
        <f>工资计算!#REF!</f>
        <v>#REF!</v>
      </c>
      <c r="J20" s="338">
        <v>0</v>
      </c>
      <c r="K20" s="339">
        <v>0</v>
      </c>
      <c r="L20" s="340" t="e">
        <f>工资计算!#REF!</f>
        <v>#REF!</v>
      </c>
      <c r="M20" s="109"/>
      <c r="N20" s="109"/>
      <c r="O20" s="109"/>
      <c r="P20" s="109"/>
    </row>
    <row r="21" spans="1:16" ht="17.25" customHeight="1">
      <c r="A21" s="332">
        <v>5</v>
      </c>
      <c r="B21" s="333">
        <f>工资计算!AS6</f>
        <v>0</v>
      </c>
      <c r="C21" s="334">
        <f>工资计算!I6</f>
        <v>0</v>
      </c>
      <c r="D21" s="335" t="s">
        <v>47</v>
      </c>
      <c r="E21" s="336">
        <v>1901</v>
      </c>
      <c r="F21" s="335" t="s">
        <v>240</v>
      </c>
      <c r="G21" s="337">
        <f>工资计算!AV6</f>
        <v>0</v>
      </c>
      <c r="H21" s="337">
        <f>工资计算!AW6</f>
        <v>0</v>
      </c>
      <c r="I21" s="339">
        <f>工资计算!AX6</f>
        <v>0</v>
      </c>
      <c r="J21" s="338">
        <v>0</v>
      </c>
      <c r="K21" s="339">
        <v>0</v>
      </c>
      <c r="L21" s="340">
        <f>工资计算!AY6</f>
        <v>0</v>
      </c>
      <c r="M21" s="109"/>
      <c r="N21" s="109"/>
      <c r="O21" s="109"/>
      <c r="P21" s="109"/>
    </row>
    <row r="22" spans="1:16" ht="17.25" customHeight="1">
      <c r="A22" s="332">
        <v>6</v>
      </c>
      <c r="B22" s="333">
        <f>工资计算!AS7</f>
        <v>0</v>
      </c>
      <c r="C22" s="334">
        <f>工资计算!I7</f>
        <v>0</v>
      </c>
      <c r="D22" s="335" t="s">
        <v>47</v>
      </c>
      <c r="E22" s="336">
        <v>1901</v>
      </c>
      <c r="F22" s="335" t="s">
        <v>240</v>
      </c>
      <c r="G22" s="337">
        <f>工资计算!AV7</f>
        <v>0</v>
      </c>
      <c r="H22" s="337">
        <f>工资计算!AW7</f>
        <v>0</v>
      </c>
      <c r="I22" s="339">
        <f>工资计算!AX7</f>
        <v>0</v>
      </c>
      <c r="J22" s="338">
        <v>0</v>
      </c>
      <c r="K22" s="339">
        <v>0</v>
      </c>
      <c r="L22" s="340">
        <f>工资计算!AY7</f>
        <v>0</v>
      </c>
      <c r="M22" s="109"/>
      <c r="N22" s="109"/>
      <c r="O22" s="109"/>
      <c r="P22" s="109"/>
    </row>
    <row r="23" spans="1:16" ht="17.25" customHeight="1">
      <c r="A23" s="332">
        <v>7</v>
      </c>
      <c r="B23" s="333">
        <f>工资计算!AS8</f>
        <v>0</v>
      </c>
      <c r="C23" s="334">
        <f>工资计算!I8</f>
        <v>0</v>
      </c>
      <c r="D23" s="335" t="s">
        <v>47</v>
      </c>
      <c r="E23" s="336">
        <v>1901</v>
      </c>
      <c r="F23" s="335" t="s">
        <v>240</v>
      </c>
      <c r="G23" s="337">
        <f>工资计算!AV8</f>
        <v>0</v>
      </c>
      <c r="H23" s="337">
        <f>工资计算!AW8</f>
        <v>0</v>
      </c>
      <c r="I23" s="339">
        <f>工资计算!AX8</f>
        <v>0</v>
      </c>
      <c r="J23" s="338">
        <v>0</v>
      </c>
      <c r="K23" s="339">
        <v>0</v>
      </c>
      <c r="L23" s="340">
        <f>工资计算!AY8</f>
        <v>0</v>
      </c>
      <c r="M23" s="109"/>
      <c r="N23" s="109"/>
      <c r="O23" s="109"/>
      <c r="P23" s="109"/>
    </row>
    <row r="24" spans="1:16" ht="17.25" customHeight="1">
      <c r="A24" s="332">
        <v>8</v>
      </c>
      <c r="B24" s="333">
        <f>工资计算!AS9</f>
        <v>0</v>
      </c>
      <c r="C24" s="334">
        <f>工资计算!I9</f>
        <v>0</v>
      </c>
      <c r="D24" s="335" t="s">
        <v>47</v>
      </c>
      <c r="E24" s="336">
        <v>1901</v>
      </c>
      <c r="F24" s="335" t="s">
        <v>240</v>
      </c>
      <c r="G24" s="337">
        <f>工资计算!AV9</f>
        <v>0</v>
      </c>
      <c r="H24" s="337">
        <f>工资计算!AW9</f>
        <v>0</v>
      </c>
      <c r="I24" s="339">
        <f>工资计算!AX9</f>
        <v>0</v>
      </c>
      <c r="J24" s="338">
        <v>0</v>
      </c>
      <c r="K24" s="339">
        <v>0</v>
      </c>
      <c r="L24" s="340">
        <f>工资计算!AY9</f>
        <v>0</v>
      </c>
      <c r="M24" s="109"/>
      <c r="N24" s="109"/>
      <c r="O24" s="109"/>
      <c r="P24" s="109"/>
    </row>
    <row r="25" spans="1:16" ht="17.25" customHeight="1">
      <c r="A25" s="332">
        <v>9</v>
      </c>
      <c r="B25" s="333" t="e">
        <f>工资计算!#REF!</f>
        <v>#REF!</v>
      </c>
      <c r="C25" s="334" t="e">
        <f>工资计算!#REF!</f>
        <v>#REF!</v>
      </c>
      <c r="D25" s="335" t="s">
        <v>47</v>
      </c>
      <c r="E25" s="336">
        <v>1901</v>
      </c>
      <c r="F25" s="335" t="s">
        <v>240</v>
      </c>
      <c r="G25" s="337" t="e">
        <f>工资计算!#REF!</f>
        <v>#REF!</v>
      </c>
      <c r="H25" s="337" t="e">
        <f>工资计算!#REF!</f>
        <v>#REF!</v>
      </c>
      <c r="I25" s="339" t="e">
        <f>工资计算!#REF!</f>
        <v>#REF!</v>
      </c>
      <c r="J25" s="338">
        <v>0</v>
      </c>
      <c r="K25" s="339">
        <v>0</v>
      </c>
      <c r="L25" s="340" t="e">
        <f>工资计算!#REF!</f>
        <v>#REF!</v>
      </c>
      <c r="M25" s="109"/>
      <c r="N25" s="109"/>
      <c r="O25" s="109"/>
      <c r="P25" s="109"/>
    </row>
    <row r="26" spans="1:16" ht="17.25" customHeight="1">
      <c r="A26" s="332">
        <v>10</v>
      </c>
      <c r="B26" s="333" t="e">
        <f>工资计算!#REF!</f>
        <v>#REF!</v>
      </c>
      <c r="C26" s="334" t="e">
        <f>工资计算!#REF!</f>
        <v>#REF!</v>
      </c>
      <c r="D26" s="335"/>
      <c r="E26" s="336"/>
      <c r="F26" s="335"/>
      <c r="G26" s="337" t="e">
        <f>工资计算!#REF!</f>
        <v>#REF!</v>
      </c>
      <c r="H26" s="337" t="e">
        <f>工资计算!#REF!</f>
        <v>#REF!</v>
      </c>
      <c r="I26" s="336" t="e">
        <f>工资计算!#REF!</f>
        <v>#REF!</v>
      </c>
      <c r="J26" s="338"/>
      <c r="K26" s="339"/>
      <c r="L26" s="340" t="e">
        <f>工资计算!#REF!</f>
        <v>#REF!</v>
      </c>
      <c r="M26" s="109"/>
      <c r="N26" s="109"/>
      <c r="O26" s="109"/>
      <c r="P26" s="109"/>
    </row>
    <row r="27" spans="1:16" ht="17.25" customHeight="1">
      <c r="A27" s="332">
        <v>11</v>
      </c>
      <c r="B27" s="333" t="e">
        <f>工资计算!#REF!</f>
        <v>#REF!</v>
      </c>
      <c r="C27" s="334" t="e">
        <f>工资计算!#REF!</f>
        <v>#REF!</v>
      </c>
      <c r="D27" s="335"/>
      <c r="E27" s="336"/>
      <c r="F27" s="335"/>
      <c r="G27" s="337" t="e">
        <f>工资计算!#REF!</f>
        <v>#REF!</v>
      </c>
      <c r="H27" s="337" t="e">
        <f>工资计算!#REF!</f>
        <v>#REF!</v>
      </c>
      <c r="I27" s="336" t="e">
        <f>工资计算!#REF!</f>
        <v>#REF!</v>
      </c>
      <c r="J27" s="338"/>
      <c r="K27" s="339"/>
      <c r="L27" s="340" t="e">
        <f>工资计算!#REF!</f>
        <v>#REF!</v>
      </c>
      <c r="M27" s="109"/>
      <c r="N27" s="109"/>
      <c r="O27" s="109"/>
      <c r="P27" s="109"/>
    </row>
    <row r="28" spans="1:16" ht="17.25" customHeight="1">
      <c r="A28" s="332">
        <v>12</v>
      </c>
      <c r="B28" s="333" t="e">
        <f>工资计算!#REF!</f>
        <v>#REF!</v>
      </c>
      <c r="C28" s="334" t="e">
        <f>工资计算!#REF!</f>
        <v>#REF!</v>
      </c>
      <c r="D28" s="335"/>
      <c r="E28" s="336"/>
      <c r="F28" s="335"/>
      <c r="G28" s="337" t="e">
        <f>工资计算!#REF!</f>
        <v>#REF!</v>
      </c>
      <c r="H28" s="337" t="e">
        <f>工资计算!#REF!</f>
        <v>#REF!</v>
      </c>
      <c r="I28" s="336" t="e">
        <f>工资计算!#REF!</f>
        <v>#REF!</v>
      </c>
      <c r="J28" s="338"/>
      <c r="K28" s="339"/>
      <c r="L28" s="340" t="e">
        <f>工资计算!#REF!</f>
        <v>#REF!</v>
      </c>
      <c r="M28" s="109"/>
      <c r="N28" s="109"/>
      <c r="O28" s="109"/>
      <c r="P28" s="109"/>
    </row>
    <row r="29" spans="1:16" ht="17.25" customHeight="1">
      <c r="A29" s="332">
        <v>13</v>
      </c>
      <c r="B29" s="333" t="e">
        <f>工资计算!#REF!</f>
        <v>#REF!</v>
      </c>
      <c r="C29" s="334" t="e">
        <f>工资计算!#REF!</f>
        <v>#REF!</v>
      </c>
      <c r="D29" s="335"/>
      <c r="E29" s="336"/>
      <c r="F29" s="335"/>
      <c r="G29" s="337" t="e">
        <f>工资计算!#REF!</f>
        <v>#REF!</v>
      </c>
      <c r="H29" s="337" t="e">
        <f>工资计算!#REF!</f>
        <v>#REF!</v>
      </c>
      <c r="I29" s="336" t="e">
        <f>工资计算!#REF!</f>
        <v>#REF!</v>
      </c>
      <c r="J29" s="338"/>
      <c r="K29" s="339"/>
      <c r="L29" s="340" t="e">
        <f>工资计算!#REF!</f>
        <v>#REF!</v>
      </c>
      <c r="M29" s="109"/>
      <c r="N29" s="109"/>
      <c r="O29" s="109"/>
      <c r="P29" s="109"/>
    </row>
    <row r="30" spans="1:16" ht="17.25" customHeight="1">
      <c r="A30" s="332">
        <v>14</v>
      </c>
      <c r="B30" s="333" t="e">
        <f>工资计算!#REF!</f>
        <v>#REF!</v>
      </c>
      <c r="C30" s="334" t="e">
        <f>工资计算!#REF!</f>
        <v>#REF!</v>
      </c>
      <c r="D30" s="335"/>
      <c r="E30" s="336"/>
      <c r="F30" s="335"/>
      <c r="G30" s="337" t="e">
        <f>工资计算!#REF!</f>
        <v>#REF!</v>
      </c>
      <c r="H30" s="337" t="e">
        <f>工资计算!#REF!</f>
        <v>#REF!</v>
      </c>
      <c r="I30" s="336" t="e">
        <f>工资计算!#REF!</f>
        <v>#REF!</v>
      </c>
      <c r="J30" s="338"/>
      <c r="K30" s="339"/>
      <c r="L30" s="340" t="e">
        <f>工资计算!#REF!</f>
        <v>#REF!</v>
      </c>
      <c r="M30" s="109"/>
      <c r="N30" s="109"/>
      <c r="O30" s="109"/>
      <c r="P30" s="109"/>
    </row>
    <row r="31" spans="1:16" ht="17.25" customHeight="1">
      <c r="A31" s="332">
        <v>15</v>
      </c>
      <c r="B31" s="333" t="e">
        <f>工资计算!#REF!</f>
        <v>#REF!</v>
      </c>
      <c r="C31" s="334" t="e">
        <f>工资计算!#REF!</f>
        <v>#REF!</v>
      </c>
      <c r="D31" s="335"/>
      <c r="E31" s="336"/>
      <c r="F31" s="335"/>
      <c r="G31" s="337" t="e">
        <f>工资计算!#REF!</f>
        <v>#REF!</v>
      </c>
      <c r="H31" s="337" t="e">
        <f>工资计算!#REF!</f>
        <v>#REF!</v>
      </c>
      <c r="I31" s="336" t="e">
        <f>工资计算!#REF!</f>
        <v>#REF!</v>
      </c>
      <c r="J31" s="338"/>
      <c r="K31" s="339"/>
      <c r="L31" s="340" t="e">
        <f>工资计算!#REF!</f>
        <v>#REF!</v>
      </c>
      <c r="M31" s="109"/>
      <c r="N31" s="109"/>
      <c r="O31" s="109"/>
      <c r="P31" s="109"/>
    </row>
    <row r="32" spans="1:16" ht="17.25" customHeight="1">
      <c r="A32" s="332">
        <v>16</v>
      </c>
      <c r="B32" s="333">
        <f>工资计算!AS10</f>
        <v>0</v>
      </c>
      <c r="C32" s="334" t="e">
        <f>工资计算!#REF!</f>
        <v>#REF!</v>
      </c>
      <c r="D32" s="335"/>
      <c r="E32" s="336"/>
      <c r="F32" s="335"/>
      <c r="G32" s="337">
        <f>工资计算!AV10</f>
        <v>0</v>
      </c>
      <c r="H32" s="337">
        <f>工资计算!AW10</f>
        <v>0</v>
      </c>
      <c r="I32" s="336">
        <f>工资计算!AX10</f>
        <v>0</v>
      </c>
      <c r="J32" s="338"/>
      <c r="K32" s="339"/>
      <c r="L32" s="340">
        <f>工资计算!AY10</f>
        <v>0</v>
      </c>
      <c r="M32" s="109"/>
      <c r="N32" s="109"/>
      <c r="O32" s="109"/>
      <c r="P32" s="109"/>
    </row>
    <row r="33" spans="1:16" ht="17.25" customHeight="1">
      <c r="A33" s="332">
        <v>17</v>
      </c>
      <c r="B33" s="333">
        <f>工资计算!AS11</f>
        <v>0</v>
      </c>
      <c r="C33" s="334">
        <f>工资计算!I11</f>
        <v>0</v>
      </c>
      <c r="D33" s="335"/>
      <c r="E33" s="336"/>
      <c r="F33" s="335"/>
      <c r="G33" s="337">
        <f>工资计算!AV11</f>
        <v>0</v>
      </c>
      <c r="H33" s="337">
        <f>工资计算!AW11</f>
        <v>0</v>
      </c>
      <c r="I33" s="336">
        <f>工资计算!AX11</f>
        <v>0</v>
      </c>
      <c r="J33" s="338"/>
      <c r="K33" s="339"/>
      <c r="L33" s="340">
        <f>工资计算!AY11</f>
        <v>0</v>
      </c>
      <c r="M33" s="109"/>
      <c r="N33" s="109"/>
      <c r="O33" s="109"/>
      <c r="P33" s="109"/>
    </row>
    <row r="34" spans="1:16" ht="17.25" customHeight="1">
      <c r="A34" s="332">
        <v>18</v>
      </c>
      <c r="B34" s="333">
        <f>工资计算!AS12</f>
        <v>0</v>
      </c>
      <c r="C34" s="443">
        <f>工资计算!I12</f>
        <v>0</v>
      </c>
      <c r="D34" s="335"/>
      <c r="E34" s="336"/>
      <c r="F34" s="335"/>
      <c r="G34" s="337">
        <f>工资计算!AV12</f>
        <v>0</v>
      </c>
      <c r="H34" s="337">
        <f>工资计算!AW12</f>
        <v>0</v>
      </c>
      <c r="I34" s="336">
        <f>工资计算!AX12</f>
        <v>0</v>
      </c>
      <c r="J34" s="338"/>
      <c r="K34" s="339"/>
      <c r="L34" s="340">
        <f>工资计算!AY12</f>
        <v>0</v>
      </c>
      <c r="M34" s="109"/>
      <c r="N34" s="109"/>
      <c r="O34" s="109"/>
      <c r="P34" s="109"/>
    </row>
    <row r="35" spans="1:16" ht="17.25" customHeight="1">
      <c r="A35" s="332">
        <v>19</v>
      </c>
      <c r="B35" s="333">
        <f>工资计算!AS13</f>
        <v>0</v>
      </c>
      <c r="C35" s="334">
        <f>工资计算!I13</f>
        <v>0</v>
      </c>
      <c r="D35" s="335"/>
      <c r="E35" s="336"/>
      <c r="F35" s="335"/>
      <c r="G35" s="337">
        <f>工资计算!AV13</f>
        <v>0</v>
      </c>
      <c r="H35" s="337">
        <f>工资计算!AW13</f>
        <v>0</v>
      </c>
      <c r="I35" s="336">
        <f>工资计算!AX13</f>
        <v>0</v>
      </c>
      <c r="J35" s="338"/>
      <c r="K35" s="339"/>
      <c r="L35" s="340">
        <f>工资计算!AY13</f>
        <v>0</v>
      </c>
      <c r="M35" s="109"/>
      <c r="N35" s="109"/>
      <c r="O35" s="109"/>
      <c r="P35" s="109"/>
    </row>
    <row r="36" spans="1:16" ht="17.25" customHeight="1">
      <c r="A36" s="332">
        <v>20</v>
      </c>
      <c r="B36" s="333">
        <f>工资计算!AS14</f>
        <v>0</v>
      </c>
      <c r="C36" s="334">
        <f>工资计算!I14</f>
        <v>0</v>
      </c>
      <c r="D36" s="335"/>
      <c r="E36" s="336"/>
      <c r="F36" s="335"/>
      <c r="G36" s="337">
        <f>工资计算!AV14</f>
        <v>0</v>
      </c>
      <c r="H36" s="337">
        <f>工资计算!AW14</f>
        <v>0</v>
      </c>
      <c r="I36" s="336">
        <f>工资计算!AX14</f>
        <v>0</v>
      </c>
      <c r="J36" s="338"/>
      <c r="K36" s="339"/>
      <c r="L36" s="340">
        <f>工资计算!AY14</f>
        <v>0</v>
      </c>
      <c r="M36" s="109"/>
      <c r="N36" s="109"/>
      <c r="O36" s="109"/>
      <c r="P36" s="109"/>
    </row>
    <row r="37" spans="1:16" ht="17.25" customHeight="1">
      <c r="A37" s="332">
        <v>21</v>
      </c>
      <c r="B37" s="333">
        <f>工资计算!AS15</f>
        <v>0</v>
      </c>
      <c r="C37" s="334">
        <f>工资计算!I15</f>
        <v>0</v>
      </c>
      <c r="D37" s="335"/>
      <c r="E37" s="336"/>
      <c r="F37" s="335"/>
      <c r="G37" s="337">
        <f>工资计算!AV15</f>
        <v>0</v>
      </c>
      <c r="H37" s="337">
        <f>工资计算!AW15</f>
        <v>0</v>
      </c>
      <c r="I37" s="336">
        <f>工资计算!AX15</f>
        <v>0</v>
      </c>
      <c r="J37" s="338"/>
      <c r="K37" s="339"/>
      <c r="L37" s="340">
        <f>工资计算!AY15</f>
        <v>0</v>
      </c>
      <c r="M37" s="109"/>
      <c r="N37" s="109"/>
      <c r="O37" s="109"/>
      <c r="P37" s="109"/>
    </row>
    <row r="38" spans="1:16" ht="17.25" customHeight="1">
      <c r="A38" s="332">
        <v>22</v>
      </c>
      <c r="B38" s="333">
        <f>工资计算!AS16</f>
        <v>0</v>
      </c>
      <c r="C38" s="334">
        <f>工资计算!I16</f>
        <v>0</v>
      </c>
      <c r="D38" s="335"/>
      <c r="E38" s="336"/>
      <c r="F38" s="335"/>
      <c r="G38" s="337">
        <f>工资计算!AV16</f>
        <v>0</v>
      </c>
      <c r="H38" s="337">
        <f>工资计算!AW16</f>
        <v>0</v>
      </c>
      <c r="I38" s="336">
        <f>工资计算!AX16</f>
        <v>0</v>
      </c>
      <c r="J38" s="338"/>
      <c r="K38" s="339"/>
      <c r="L38" s="340">
        <f>工资计算!AY16</f>
        <v>0</v>
      </c>
      <c r="M38" s="109"/>
      <c r="N38" s="109"/>
      <c r="O38" s="109"/>
      <c r="P38" s="109"/>
    </row>
    <row r="39" spans="1:16" ht="17.25" customHeight="1">
      <c r="A39" s="332">
        <v>23</v>
      </c>
      <c r="B39" s="333">
        <f>工资计算!AS17</f>
        <v>0</v>
      </c>
      <c r="C39" s="334">
        <f>工资计算!I17</f>
        <v>0</v>
      </c>
      <c r="D39" s="335"/>
      <c r="E39" s="336"/>
      <c r="F39" s="335"/>
      <c r="G39" s="337">
        <f>工资计算!AV17</f>
        <v>0</v>
      </c>
      <c r="H39" s="337">
        <f>工资计算!AW17</f>
        <v>0</v>
      </c>
      <c r="I39" s="336">
        <f>工资计算!AX17</f>
        <v>0</v>
      </c>
      <c r="J39" s="338"/>
      <c r="K39" s="339"/>
      <c r="L39" s="340">
        <f>工资计算!AY17</f>
        <v>0</v>
      </c>
      <c r="M39" s="109"/>
      <c r="N39" s="109"/>
      <c r="O39" s="109"/>
      <c r="P39" s="109"/>
    </row>
    <row r="40" spans="1:16" ht="17.25" customHeight="1">
      <c r="A40" s="332">
        <v>24</v>
      </c>
      <c r="B40" s="333">
        <f>工资计算!AS18</f>
        <v>0</v>
      </c>
      <c r="C40" s="334">
        <f>工资计算!I18</f>
        <v>0</v>
      </c>
      <c r="D40" s="335"/>
      <c r="E40" s="336"/>
      <c r="F40" s="335"/>
      <c r="G40" s="337">
        <f>工资计算!AV18</f>
        <v>0</v>
      </c>
      <c r="H40" s="337">
        <f>工资计算!AW18</f>
        <v>0</v>
      </c>
      <c r="I40" s="336">
        <f>工资计算!AX18</f>
        <v>0</v>
      </c>
      <c r="J40" s="338"/>
      <c r="K40" s="339"/>
      <c r="L40" s="340">
        <f>工资计算!AY18</f>
        <v>0</v>
      </c>
      <c r="M40" s="109"/>
      <c r="N40" s="109"/>
      <c r="O40" s="109"/>
      <c r="P40" s="109"/>
    </row>
    <row r="41" spans="1:16" ht="17.25" customHeight="1">
      <c r="A41" s="332">
        <v>25</v>
      </c>
      <c r="B41" s="333">
        <f>工资计算!AS20</f>
        <v>0</v>
      </c>
      <c r="C41" s="334">
        <f>工资计算!I20</f>
        <v>0</v>
      </c>
      <c r="D41" s="335"/>
      <c r="E41" s="336"/>
      <c r="F41" s="335"/>
      <c r="G41" s="337">
        <f>工资计算!AV20</f>
        <v>0</v>
      </c>
      <c r="H41" s="337">
        <f>工资计算!AW20</f>
        <v>0</v>
      </c>
      <c r="I41" s="336">
        <f>工资计算!AX20</f>
        <v>0</v>
      </c>
      <c r="J41" s="338"/>
      <c r="K41" s="339"/>
      <c r="L41" s="340">
        <f>工资计算!AY20</f>
        <v>0</v>
      </c>
      <c r="M41" s="109"/>
      <c r="N41" s="109"/>
      <c r="O41" s="109"/>
      <c r="P41" s="109"/>
    </row>
    <row r="42" spans="1:16" ht="17.25" customHeight="1">
      <c r="A42" s="332">
        <v>26</v>
      </c>
      <c r="B42" s="333">
        <f>工资计算!AS21</f>
        <v>0</v>
      </c>
      <c r="C42" s="334">
        <f>工资计算!I21</f>
        <v>0</v>
      </c>
      <c r="D42" s="335"/>
      <c r="E42" s="336"/>
      <c r="F42" s="335"/>
      <c r="G42" s="337">
        <f>工资计算!AV21</f>
        <v>0</v>
      </c>
      <c r="H42" s="337">
        <f>工资计算!AW21</f>
        <v>0</v>
      </c>
      <c r="I42" s="336">
        <f>工资计算!AX21</f>
        <v>0</v>
      </c>
      <c r="J42" s="338"/>
      <c r="K42" s="339"/>
      <c r="L42" s="340">
        <f>工资计算!AY21</f>
        <v>0</v>
      </c>
      <c r="M42" s="109"/>
      <c r="N42" s="109"/>
      <c r="O42" s="109"/>
      <c r="P42" s="109"/>
    </row>
    <row r="43" spans="1:16" ht="17.25" customHeight="1">
      <c r="A43" s="332">
        <v>27</v>
      </c>
      <c r="B43" s="333">
        <f>工资计算!AS22</f>
        <v>0</v>
      </c>
      <c r="C43" s="334">
        <f>工资计算!I22</f>
        <v>0</v>
      </c>
      <c r="D43" s="335"/>
      <c r="E43" s="336"/>
      <c r="F43" s="335"/>
      <c r="G43" s="337">
        <f>工资计算!AV22</f>
        <v>0</v>
      </c>
      <c r="H43" s="337">
        <f>工资计算!AW22</f>
        <v>0</v>
      </c>
      <c r="I43" s="336">
        <f>工资计算!AX22</f>
        <v>0</v>
      </c>
      <c r="J43" s="338"/>
      <c r="K43" s="339"/>
      <c r="L43" s="340">
        <f>工资计算!AY22</f>
        <v>0</v>
      </c>
      <c r="M43" s="109"/>
      <c r="N43" s="109"/>
      <c r="O43" s="109"/>
      <c r="P43" s="109"/>
    </row>
    <row r="44" spans="1:16" ht="17.25" customHeight="1">
      <c r="A44" s="332">
        <v>28</v>
      </c>
      <c r="B44" s="333">
        <f>工资计算!AS23</f>
        <v>0</v>
      </c>
      <c r="C44" s="334">
        <f>工资计算!I23</f>
        <v>0</v>
      </c>
      <c r="D44" s="335"/>
      <c r="E44" s="336"/>
      <c r="F44" s="335"/>
      <c r="G44" s="337">
        <f>工资计算!AV23</f>
        <v>0</v>
      </c>
      <c r="H44" s="337">
        <f>工资计算!AW23</f>
        <v>0</v>
      </c>
      <c r="I44" s="336">
        <f>工资计算!AX23</f>
        <v>0</v>
      </c>
      <c r="J44" s="338"/>
      <c r="K44" s="339"/>
      <c r="L44" s="340">
        <f>工资计算!AY23</f>
        <v>0</v>
      </c>
      <c r="M44" s="109"/>
      <c r="N44" s="109"/>
      <c r="O44" s="109"/>
      <c r="P44" s="109"/>
    </row>
    <row r="45" spans="1:16" ht="17.25" customHeight="1">
      <c r="A45" s="341">
        <v>29</v>
      </c>
      <c r="B45" s="342">
        <f>工资计算!AS25</f>
        <v>0</v>
      </c>
      <c r="C45" s="343">
        <f>工资计算!I25</f>
        <v>0</v>
      </c>
      <c r="D45" s="344"/>
      <c r="E45" s="345"/>
      <c r="F45" s="344"/>
      <c r="G45" s="346">
        <f>工资计算!AV25</f>
        <v>0</v>
      </c>
      <c r="H45" s="346">
        <f>工资计算!AW25</f>
        <v>0</v>
      </c>
      <c r="I45" s="345">
        <f>工资计算!AX25</f>
        <v>0</v>
      </c>
      <c r="J45" s="347"/>
      <c r="K45" s="348"/>
      <c r="L45" s="349">
        <f>工资计算!AY25</f>
        <v>0</v>
      </c>
      <c r="M45" s="109"/>
      <c r="N45" s="109"/>
      <c r="O45" s="109"/>
      <c r="P45" s="109"/>
    </row>
    <row r="46" spans="1:16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</row>
    <row r="47" spans="1:16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</row>
    <row r="48" spans="1:16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</row>
    <row r="49" spans="1:16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</row>
    <row r="50" spans="1:16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</row>
    <row r="51" spans="1:16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</row>
    <row r="52" spans="1:16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</row>
  </sheetData>
  <mergeCells count="33">
    <mergeCell ref="A11:B11"/>
    <mergeCell ref="C11:E11"/>
    <mergeCell ref="A12:B12"/>
    <mergeCell ref="C12:E12"/>
    <mergeCell ref="F12:G12"/>
    <mergeCell ref="J5:K5"/>
    <mergeCell ref="A10:B10"/>
    <mergeCell ref="C10:E10"/>
    <mergeCell ref="F10:G10"/>
    <mergeCell ref="H10:I10"/>
    <mergeCell ref="J10:K10"/>
    <mergeCell ref="G15:G16"/>
    <mergeCell ref="F11:G11"/>
    <mergeCell ref="K15:K16"/>
    <mergeCell ref="A13:B13"/>
    <mergeCell ref="C13:E13"/>
    <mergeCell ref="A15:A16"/>
    <mergeCell ref="F13:G13"/>
    <mergeCell ref="H13:I13"/>
    <mergeCell ref="E15:E16"/>
    <mergeCell ref="F15:F16"/>
    <mergeCell ref="H15:H16"/>
    <mergeCell ref="B15:B16"/>
    <mergeCell ref="C15:C16"/>
    <mergeCell ref="D15:D16"/>
    <mergeCell ref="H12:I12"/>
    <mergeCell ref="J12:K12"/>
    <mergeCell ref="L15:L16"/>
    <mergeCell ref="J13:K13"/>
    <mergeCell ref="H11:I11"/>
    <mergeCell ref="J11:K11"/>
    <mergeCell ref="J15:J16"/>
    <mergeCell ref="I15:I16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5"/>
  <sheetViews>
    <sheetView showZeros="0" workbookViewId="0"/>
  </sheetViews>
  <sheetFormatPr defaultRowHeight="15"/>
  <cols>
    <col min="1" max="1" width="4" customWidth="1"/>
    <col min="2" max="2" width="7.58203125" customWidth="1"/>
    <col min="3" max="3" width="5.75" customWidth="1"/>
    <col min="4" max="4" width="16.75" customWidth="1"/>
    <col min="5" max="5" width="5.5" customWidth="1"/>
    <col min="6" max="6" width="10.58203125" customWidth="1"/>
    <col min="7" max="7" width="5" customWidth="1"/>
    <col min="8" max="9" width="9.58203125" customWidth="1"/>
    <col min="10" max="10" width="7.5" customWidth="1"/>
    <col min="11" max="11" width="8.58203125" customWidth="1"/>
    <col min="12" max="12" width="6.58203125" customWidth="1"/>
    <col min="13" max="13" width="9.5" customWidth="1"/>
    <col min="14" max="14" width="6.5" customWidth="1"/>
    <col min="15" max="15" width="8.5" customWidth="1"/>
    <col min="16" max="16" width="9.5" customWidth="1"/>
    <col min="17" max="17" width="9.25" customWidth="1"/>
    <col min="18" max="18" width="7.08203125" customWidth="1"/>
    <col min="19" max="19" width="0" hidden="1" customWidth="1"/>
    <col min="20" max="20" width="8.5" hidden="1" customWidth="1"/>
  </cols>
  <sheetData>
    <row r="1" spans="1:23">
      <c r="A1" s="350"/>
      <c r="B1" s="254"/>
      <c r="C1" s="254"/>
      <c r="D1" s="254"/>
      <c r="E1" s="254"/>
      <c r="F1" s="350"/>
      <c r="G1" s="254"/>
      <c r="H1" s="254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1"/>
      <c r="U1" s="1"/>
      <c r="V1" s="1"/>
      <c r="W1" s="1"/>
    </row>
    <row r="2" spans="1:23" ht="15" customHeight="1">
      <c r="A2" s="352" t="s">
        <v>241</v>
      </c>
      <c r="B2" s="353"/>
      <c r="C2" s="353"/>
      <c r="D2" s="353"/>
      <c r="E2" s="353"/>
      <c r="F2" s="353"/>
      <c r="G2" s="353"/>
      <c r="H2" s="354" t="s">
        <v>242</v>
      </c>
      <c r="J2" s="354"/>
      <c r="K2" s="354"/>
      <c r="L2" s="354"/>
      <c r="M2" s="354"/>
      <c r="N2" s="354"/>
      <c r="O2" s="354"/>
      <c r="P2" s="354"/>
      <c r="Q2" s="354"/>
      <c r="R2" s="354"/>
      <c r="S2" s="1"/>
      <c r="U2" s="1"/>
      <c r="V2" s="1"/>
      <c r="W2" s="1"/>
    </row>
    <row r="3" spans="1:23">
      <c r="A3" s="350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1"/>
      <c r="U3" s="1"/>
      <c r="V3" s="1"/>
      <c r="W3" s="1"/>
    </row>
    <row r="4" spans="1:23">
      <c r="A4" s="350" t="s">
        <v>243</v>
      </c>
      <c r="B4" s="254"/>
      <c r="C4" s="355"/>
      <c r="D4" s="355"/>
      <c r="E4" s="355"/>
      <c r="F4" s="355"/>
      <c r="G4" s="355"/>
      <c r="H4" s="355"/>
      <c r="I4" s="355"/>
      <c r="J4" s="355"/>
      <c r="K4" s="355"/>
      <c r="L4" s="254"/>
      <c r="M4" s="254"/>
      <c r="N4" s="254"/>
      <c r="O4" s="254"/>
      <c r="P4" s="254"/>
      <c r="R4" s="254"/>
      <c r="S4" s="1"/>
      <c r="U4" s="1"/>
      <c r="V4" s="1"/>
      <c r="W4" s="1"/>
    </row>
    <row r="5" spans="1:23">
      <c r="A5" s="254"/>
      <c r="B5" s="254"/>
      <c r="C5" s="355"/>
      <c r="D5" s="355"/>
      <c r="E5" s="355"/>
      <c r="F5" s="355"/>
      <c r="G5" s="355"/>
      <c r="H5" s="355"/>
      <c r="I5" s="355"/>
      <c r="J5" s="355"/>
      <c r="K5" s="355"/>
      <c r="L5" s="254"/>
      <c r="M5" s="254"/>
      <c r="N5" s="254"/>
      <c r="O5" s="254"/>
      <c r="P5" s="254"/>
      <c r="Q5" s="254"/>
      <c r="R5" s="254"/>
      <c r="S5" s="1"/>
      <c r="U5" s="1"/>
      <c r="V5" s="1"/>
      <c r="W5" s="1"/>
    </row>
    <row r="6" spans="1:23">
      <c r="A6" s="352" t="s">
        <v>244</v>
      </c>
      <c r="B6" s="352"/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1"/>
      <c r="P6" s="352" t="s">
        <v>245</v>
      </c>
      <c r="Q6" s="352"/>
      <c r="R6" s="352"/>
      <c r="S6" s="1"/>
      <c r="U6" s="1"/>
      <c r="V6" s="1"/>
      <c r="W6" s="1"/>
    </row>
    <row r="7" spans="1:23" ht="15.5" thickBot="1">
      <c r="A7" s="356"/>
      <c r="B7" s="356"/>
      <c r="C7" s="356"/>
      <c r="D7" s="356"/>
      <c r="E7" s="356"/>
      <c r="F7" s="356"/>
      <c r="G7" s="356"/>
      <c r="H7" s="356"/>
      <c r="I7" s="356"/>
      <c r="J7" s="356"/>
      <c r="K7" s="357"/>
      <c r="L7" s="357"/>
      <c r="M7" s="357"/>
      <c r="N7" s="1"/>
      <c r="O7" s="358"/>
      <c r="P7" s="356" t="s">
        <v>246</v>
      </c>
      <c r="Q7" s="743" t="s">
        <v>247</v>
      </c>
      <c r="R7" s="743"/>
      <c r="S7" s="1"/>
      <c r="U7" s="1"/>
      <c r="V7" s="1"/>
      <c r="W7" s="1"/>
    </row>
    <row r="8" spans="1:23" ht="12.75" customHeight="1">
      <c r="A8" s="744" t="s">
        <v>248</v>
      </c>
      <c r="B8" s="737" t="s">
        <v>249</v>
      </c>
      <c r="C8" s="737" t="s">
        <v>250</v>
      </c>
      <c r="D8" s="737" t="s">
        <v>251</v>
      </c>
      <c r="E8" s="746" t="s">
        <v>252</v>
      </c>
      <c r="F8" s="737" t="s">
        <v>253</v>
      </c>
      <c r="G8" s="737" t="s">
        <v>254</v>
      </c>
      <c r="H8" s="737" t="s">
        <v>255</v>
      </c>
      <c r="I8" s="737" t="s">
        <v>256</v>
      </c>
      <c r="J8" s="737" t="s">
        <v>257</v>
      </c>
      <c r="K8" s="737" t="s">
        <v>258</v>
      </c>
      <c r="L8" s="737" t="s">
        <v>259</v>
      </c>
      <c r="M8" s="737" t="s">
        <v>260</v>
      </c>
      <c r="N8" s="737" t="s">
        <v>261</v>
      </c>
      <c r="O8" s="737" t="s">
        <v>262</v>
      </c>
      <c r="P8" s="737" t="s">
        <v>263</v>
      </c>
      <c r="Q8" s="737" t="s">
        <v>264</v>
      </c>
      <c r="R8" s="748" t="s">
        <v>265</v>
      </c>
      <c r="S8" s="1"/>
      <c r="U8" s="1"/>
      <c r="V8" s="1"/>
      <c r="W8" s="1"/>
    </row>
    <row r="9" spans="1:23">
      <c r="A9" s="745"/>
      <c r="B9" s="738"/>
      <c r="C9" s="738"/>
      <c r="D9" s="738"/>
      <c r="E9" s="747"/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8"/>
      <c r="R9" s="749"/>
      <c r="S9" s="1"/>
      <c r="U9" s="1"/>
      <c r="V9" s="1"/>
      <c r="W9" s="1"/>
    </row>
    <row r="10" spans="1:23">
      <c r="A10" s="745"/>
      <c r="B10" s="738"/>
      <c r="C10" s="738"/>
      <c r="D10" s="738"/>
      <c r="E10" s="747"/>
      <c r="F10" s="738"/>
      <c r="G10" s="738"/>
      <c r="H10" s="738"/>
      <c r="I10" s="738"/>
      <c r="J10" s="738"/>
      <c r="K10" s="738"/>
      <c r="L10" s="738"/>
      <c r="M10" s="738"/>
      <c r="N10" s="738"/>
      <c r="O10" s="738"/>
      <c r="P10" s="738"/>
      <c r="Q10" s="738"/>
      <c r="R10" s="749"/>
      <c r="S10" s="1"/>
      <c r="U10" s="1"/>
      <c r="V10" s="1"/>
      <c r="W10" s="1"/>
    </row>
    <row r="11" spans="1:23">
      <c r="A11" s="359">
        <v>1</v>
      </c>
      <c r="B11" s="360">
        <v>2</v>
      </c>
      <c r="C11" s="360">
        <v>3</v>
      </c>
      <c r="D11" s="360">
        <v>4</v>
      </c>
      <c r="E11" s="360">
        <v>5</v>
      </c>
      <c r="F11" s="360">
        <v>6</v>
      </c>
      <c r="G11" s="360">
        <v>7</v>
      </c>
      <c r="H11" s="360">
        <v>8</v>
      </c>
      <c r="I11" s="360">
        <v>9</v>
      </c>
      <c r="J11" s="360">
        <v>10</v>
      </c>
      <c r="K11" s="360">
        <v>11</v>
      </c>
      <c r="L11" s="360">
        <v>12</v>
      </c>
      <c r="M11" s="360">
        <v>13</v>
      </c>
      <c r="N11" s="360">
        <v>14</v>
      </c>
      <c r="O11" s="360">
        <v>15</v>
      </c>
      <c r="P11" s="360">
        <v>16</v>
      </c>
      <c r="Q11" s="360">
        <v>17</v>
      </c>
      <c r="R11" s="361">
        <v>18</v>
      </c>
      <c r="S11" s="1"/>
      <c r="U11" s="1"/>
      <c r="V11" s="1"/>
      <c r="W11" s="1"/>
    </row>
    <row r="12" spans="1:23">
      <c r="A12" s="739" t="s">
        <v>266</v>
      </c>
      <c r="B12" s="740"/>
      <c r="C12" s="740"/>
      <c r="D12" s="740"/>
      <c r="E12" s="740"/>
      <c r="F12" s="740"/>
      <c r="G12" s="740"/>
      <c r="H12" s="740"/>
      <c r="I12" s="740"/>
      <c r="J12" s="741"/>
      <c r="K12" s="445" t="s">
        <v>267</v>
      </c>
      <c r="L12" s="362" t="s">
        <v>267</v>
      </c>
      <c r="M12" s="362" t="s">
        <v>267</v>
      </c>
      <c r="N12" s="362" t="s">
        <v>267</v>
      </c>
      <c r="O12" s="362" t="s">
        <v>267</v>
      </c>
      <c r="P12" s="363" t="e">
        <f>SUM(P13:P22)</f>
        <v>#REF!</v>
      </c>
      <c r="Q12" s="363" t="e">
        <f>SUM(Q13:Q22)</f>
        <v>#REF!</v>
      </c>
      <c r="R12" s="364"/>
      <c r="S12" s="1"/>
      <c r="U12" s="1"/>
      <c r="V12" s="1"/>
      <c r="W12" s="365"/>
    </row>
    <row r="13" spans="1:23" ht="18" customHeight="1">
      <c r="A13" s="366">
        <v>1</v>
      </c>
      <c r="B13" s="318" t="str">
        <f>工资计算!I3</f>
        <v>ABC</v>
      </c>
      <c r="C13" s="367" t="s">
        <v>268</v>
      </c>
      <c r="D13" s="368">
        <f>工资计算!AS3</f>
        <v>0</v>
      </c>
      <c r="E13" s="318" t="s">
        <v>269</v>
      </c>
      <c r="F13" s="367" t="s">
        <v>270</v>
      </c>
      <c r="G13" s="369">
        <v>39142</v>
      </c>
      <c r="H13" s="362">
        <f>工资计算!Y3</f>
        <v>4292</v>
      </c>
      <c r="I13" s="370">
        <f>工资计算!Z3+工资计算!AA3+工资计算!AB3+工资计算!AC3</f>
        <v>660.8</v>
      </c>
      <c r="J13" s="371"/>
      <c r="K13" s="362">
        <v>1600</v>
      </c>
      <c r="L13" s="362"/>
      <c r="M13" s="362">
        <f>工资计算!AW3</f>
        <v>0</v>
      </c>
      <c r="N13" s="372">
        <f>工资计算!AX3</f>
        <v>0</v>
      </c>
      <c r="O13" s="444">
        <f>IF(N13&lt;=25%,S13,T13)</f>
        <v>0</v>
      </c>
      <c r="P13" s="373">
        <f>工资计算!AJ3</f>
        <v>0</v>
      </c>
      <c r="Q13" s="373">
        <f>P13</f>
        <v>0</v>
      </c>
      <c r="R13" s="374"/>
      <c r="S13" s="375">
        <f>IF(N13=0,0,IF(N13&lt;=5%,0,IF(N13=10%,25,IF(N13=15%,125,IF(N13=20%,375,IF(N13=25%,1375,0))))))</f>
        <v>0</v>
      </c>
      <c r="T13" s="376">
        <f>IF(N13&lt;=25%,0,IF(N13=30%,3375,IF(N13=35%,6375,IF(N13=40%,10375,IF(N13=45%,15375,0)))))</f>
        <v>0</v>
      </c>
      <c r="U13" s="1"/>
      <c r="V13" s="1"/>
      <c r="W13" s="1"/>
    </row>
    <row r="14" spans="1:23" ht="18" customHeight="1">
      <c r="A14" s="377">
        <v>2</v>
      </c>
      <c r="B14" s="320" t="str">
        <f>工资计算!I4</f>
        <v>CBD</v>
      </c>
      <c r="C14" s="378" t="s">
        <v>268</v>
      </c>
      <c r="D14" s="379">
        <f>工资计算!AS4</f>
        <v>0</v>
      </c>
      <c r="E14" s="320" t="s">
        <v>269</v>
      </c>
      <c r="F14" s="378" t="s">
        <v>270</v>
      </c>
      <c r="G14" s="380"/>
      <c r="H14" s="381">
        <f>工资计算!Y4</f>
        <v>4292</v>
      </c>
      <c r="I14" s="382">
        <f>工资计算!Z4+工资计算!AA4+工资计算!AB4+工资计算!AC4</f>
        <v>660.8</v>
      </c>
      <c r="J14" s="383"/>
      <c r="K14" s="381">
        <v>1600</v>
      </c>
      <c r="L14" s="384"/>
      <c r="M14" s="381">
        <f>工资计算!AW4</f>
        <v>0</v>
      </c>
      <c r="N14" s="385">
        <f>工资计算!AX4</f>
        <v>0</v>
      </c>
      <c r="O14" s="386">
        <f>IF(N14&lt;=25%,S14,T14)</f>
        <v>0</v>
      </c>
      <c r="P14" s="387">
        <f>工资计算!AJ4</f>
        <v>0</v>
      </c>
      <c r="Q14" s="387">
        <f t="shared" ref="Q14:Q22" si="0">P14</f>
        <v>0</v>
      </c>
      <c r="R14" s="388"/>
      <c r="S14" s="375">
        <f t="shared" ref="S14:S21" si="1">IF(N14=0,0,IF(N14&lt;=5%,0,IF(N14=10%,25,IF(N14=15%,125,IF(N14=20%,375,IF(N14=25%,1375,0))))))</f>
        <v>0</v>
      </c>
      <c r="T14" s="376">
        <f t="shared" ref="T14:T22" si="2">IF(N14&lt;=25%,0,IF(N14=30%,3375,IF(N14=35%,6375,IF(N14=40%,10375,IF(N14=45%,15375,0)))))</f>
        <v>0</v>
      </c>
      <c r="U14" s="1"/>
      <c r="V14" s="1"/>
      <c r="W14" s="1"/>
    </row>
    <row r="15" spans="1:23" ht="18" customHeight="1">
      <c r="A15" s="377">
        <v>3</v>
      </c>
      <c r="B15" s="320">
        <f>工资计算!I5</f>
        <v>0</v>
      </c>
      <c r="C15" s="378" t="s">
        <v>268</v>
      </c>
      <c r="D15" s="379">
        <f>工资计算!AS5</f>
        <v>0</v>
      </c>
      <c r="E15" s="320" t="s">
        <v>269</v>
      </c>
      <c r="F15" s="378" t="s">
        <v>270</v>
      </c>
      <c r="G15" s="380"/>
      <c r="H15" s="381">
        <f>工资计算!Y5</f>
        <v>0</v>
      </c>
      <c r="I15" s="382">
        <f>工资计算!Z5+工资计算!AA5+工资计算!AB5+工资计算!AC5</f>
        <v>0</v>
      </c>
      <c r="J15" s="383"/>
      <c r="K15" s="381">
        <v>1600</v>
      </c>
      <c r="L15" s="384"/>
      <c r="M15" s="381">
        <f>工资计算!AW5</f>
        <v>0</v>
      </c>
      <c r="N15" s="385">
        <f>工资计算!AX5</f>
        <v>0</v>
      </c>
      <c r="O15" s="386">
        <f t="shared" ref="O15:O21" si="3">IF(N15&lt;=25%,S15,T15)</f>
        <v>0</v>
      </c>
      <c r="P15" s="387">
        <f>工资计算!AJ5</f>
        <v>0</v>
      </c>
      <c r="Q15" s="387">
        <f t="shared" si="0"/>
        <v>0</v>
      </c>
      <c r="R15" s="388"/>
      <c r="S15" s="375">
        <f t="shared" si="1"/>
        <v>0</v>
      </c>
      <c r="T15" s="376">
        <f t="shared" si="2"/>
        <v>0</v>
      </c>
      <c r="U15" s="1"/>
      <c r="V15" s="1"/>
      <c r="W15" s="1"/>
    </row>
    <row r="16" spans="1:23" ht="18" customHeight="1">
      <c r="A16" s="377">
        <v>4</v>
      </c>
      <c r="B16" s="320" t="e">
        <f>工资计算!#REF!</f>
        <v>#REF!</v>
      </c>
      <c r="C16" s="378" t="s">
        <v>268</v>
      </c>
      <c r="D16" s="379" t="e">
        <f>工资计算!#REF!</f>
        <v>#REF!</v>
      </c>
      <c r="E16" s="320" t="s">
        <v>269</v>
      </c>
      <c r="F16" s="378" t="s">
        <v>270</v>
      </c>
      <c r="G16" s="380"/>
      <c r="H16" s="381" t="e">
        <f>工资计算!#REF!</f>
        <v>#REF!</v>
      </c>
      <c r="I16" s="382" t="e">
        <f>工资计算!#REF!+工资计算!#REF!+工资计算!#REF!+工资计算!#REF!</f>
        <v>#REF!</v>
      </c>
      <c r="J16" s="383"/>
      <c r="K16" s="381">
        <v>1600</v>
      </c>
      <c r="L16" s="384"/>
      <c r="M16" s="381" t="e">
        <f>工资计算!#REF!</f>
        <v>#REF!</v>
      </c>
      <c r="N16" s="385" t="e">
        <f>工资计算!#REF!</f>
        <v>#REF!</v>
      </c>
      <c r="O16" s="386" t="e">
        <f t="shared" si="3"/>
        <v>#REF!</v>
      </c>
      <c r="P16" s="387" t="e">
        <f>工资计算!#REF!</f>
        <v>#REF!</v>
      </c>
      <c r="Q16" s="387" t="e">
        <f t="shared" si="0"/>
        <v>#REF!</v>
      </c>
      <c r="R16" s="388"/>
      <c r="S16" s="375" t="e">
        <f t="shared" si="1"/>
        <v>#REF!</v>
      </c>
      <c r="T16" s="376" t="e">
        <f t="shared" si="2"/>
        <v>#REF!</v>
      </c>
      <c r="U16" s="1"/>
      <c r="V16" s="1"/>
      <c r="W16" s="1"/>
    </row>
    <row r="17" spans="1:23" ht="18" customHeight="1">
      <c r="A17" s="377">
        <v>5</v>
      </c>
      <c r="B17" s="320">
        <f>工资计算!I6</f>
        <v>0</v>
      </c>
      <c r="C17" s="378" t="s">
        <v>268</v>
      </c>
      <c r="D17" s="379">
        <f>工资计算!AS6</f>
        <v>0</v>
      </c>
      <c r="E17" s="320" t="s">
        <v>269</v>
      </c>
      <c r="F17" s="378" t="s">
        <v>270</v>
      </c>
      <c r="G17" s="380"/>
      <c r="H17" s="381">
        <f>工资计算!Y6</f>
        <v>0</v>
      </c>
      <c r="I17" s="382">
        <f>工资计算!Z6+工资计算!AA6+工资计算!AB6+工资计算!AC6</f>
        <v>0</v>
      </c>
      <c r="J17" s="383"/>
      <c r="K17" s="381">
        <v>1600</v>
      </c>
      <c r="L17" s="384"/>
      <c r="M17" s="381">
        <f>工资计算!AW6</f>
        <v>0</v>
      </c>
      <c r="N17" s="385">
        <f>工资计算!AX6</f>
        <v>0</v>
      </c>
      <c r="O17" s="386">
        <f t="shared" si="3"/>
        <v>0</v>
      </c>
      <c r="P17" s="387">
        <f>工资计算!AJ6</f>
        <v>0</v>
      </c>
      <c r="Q17" s="387">
        <f t="shared" si="0"/>
        <v>0</v>
      </c>
      <c r="R17" s="388"/>
      <c r="S17" s="375">
        <f t="shared" si="1"/>
        <v>0</v>
      </c>
      <c r="T17" s="376">
        <f t="shared" si="2"/>
        <v>0</v>
      </c>
      <c r="U17" s="1"/>
      <c r="V17" s="1"/>
      <c r="W17" s="1"/>
    </row>
    <row r="18" spans="1:23" ht="18" customHeight="1">
      <c r="A18" s="377">
        <v>6</v>
      </c>
      <c r="B18" s="320">
        <f>工资计算!I7</f>
        <v>0</v>
      </c>
      <c r="C18" s="378" t="s">
        <v>268</v>
      </c>
      <c r="D18" s="379">
        <f>工资计算!AS7</f>
        <v>0</v>
      </c>
      <c r="E18" s="320" t="s">
        <v>269</v>
      </c>
      <c r="F18" s="378" t="s">
        <v>270</v>
      </c>
      <c r="G18" s="380"/>
      <c r="H18" s="381">
        <f>工资计算!Y7</f>
        <v>0</v>
      </c>
      <c r="I18" s="382">
        <f>工资计算!Z7+工资计算!AA7+工资计算!AB7+工资计算!AC7</f>
        <v>0</v>
      </c>
      <c r="J18" s="383"/>
      <c r="K18" s="381">
        <v>1600</v>
      </c>
      <c r="L18" s="384"/>
      <c r="M18" s="381">
        <f>工资计算!AW7</f>
        <v>0</v>
      </c>
      <c r="N18" s="385">
        <f>工资计算!AX7</f>
        <v>0</v>
      </c>
      <c r="O18" s="386">
        <f t="shared" si="3"/>
        <v>0</v>
      </c>
      <c r="P18" s="387">
        <f>工资计算!AJ7</f>
        <v>0</v>
      </c>
      <c r="Q18" s="387">
        <f t="shared" si="0"/>
        <v>0</v>
      </c>
      <c r="R18" s="388"/>
      <c r="S18" s="375">
        <f t="shared" si="1"/>
        <v>0</v>
      </c>
      <c r="T18" s="376">
        <f t="shared" si="2"/>
        <v>0</v>
      </c>
      <c r="U18" s="1"/>
      <c r="V18" s="1"/>
      <c r="W18" s="1"/>
    </row>
    <row r="19" spans="1:23" ht="18" customHeight="1">
      <c r="A19" s="377">
        <v>7</v>
      </c>
      <c r="B19" s="320">
        <f>工资计算!I8</f>
        <v>0</v>
      </c>
      <c r="C19" s="378" t="s">
        <v>268</v>
      </c>
      <c r="D19" s="379">
        <f>工资计算!AS8</f>
        <v>0</v>
      </c>
      <c r="E19" s="320" t="s">
        <v>269</v>
      </c>
      <c r="F19" s="378" t="s">
        <v>270</v>
      </c>
      <c r="G19" s="380"/>
      <c r="H19" s="381">
        <f>工资计算!Y8</f>
        <v>0</v>
      </c>
      <c r="I19" s="382">
        <f>工资计算!Z8+工资计算!AA8+工资计算!AB8+工资计算!AC8</f>
        <v>0</v>
      </c>
      <c r="J19" s="383"/>
      <c r="K19" s="381">
        <v>1600</v>
      </c>
      <c r="L19" s="384"/>
      <c r="M19" s="381">
        <f>工资计算!AW8</f>
        <v>0</v>
      </c>
      <c r="N19" s="385">
        <f>工资计算!AX8</f>
        <v>0</v>
      </c>
      <c r="O19" s="386">
        <f t="shared" si="3"/>
        <v>0</v>
      </c>
      <c r="P19" s="387">
        <f>工资计算!AJ8</f>
        <v>0</v>
      </c>
      <c r="Q19" s="387">
        <f t="shared" si="0"/>
        <v>0</v>
      </c>
      <c r="R19" s="388"/>
      <c r="S19" s="375">
        <f t="shared" si="1"/>
        <v>0</v>
      </c>
      <c r="T19" s="376">
        <f t="shared" si="2"/>
        <v>0</v>
      </c>
      <c r="U19" s="1"/>
      <c r="V19" s="1"/>
      <c r="W19" s="1"/>
    </row>
    <row r="20" spans="1:23" ht="18" customHeight="1">
      <c r="A20" s="377">
        <v>8</v>
      </c>
      <c r="B20" s="320">
        <f>工资计算!I9</f>
        <v>0</v>
      </c>
      <c r="C20" s="378" t="s">
        <v>268</v>
      </c>
      <c r="D20" s="379">
        <f>工资计算!AS9</f>
        <v>0</v>
      </c>
      <c r="E20" s="320" t="s">
        <v>269</v>
      </c>
      <c r="F20" s="378" t="s">
        <v>270</v>
      </c>
      <c r="G20" s="380"/>
      <c r="H20" s="381">
        <f>工资计算!Y9</f>
        <v>0</v>
      </c>
      <c r="I20" s="382">
        <f>工资计算!Z9+工资计算!AA9+工资计算!AB9+工资计算!AC9</f>
        <v>0</v>
      </c>
      <c r="J20" s="383"/>
      <c r="K20" s="381">
        <v>1600</v>
      </c>
      <c r="L20" s="384"/>
      <c r="M20" s="381">
        <f>工资计算!AW9</f>
        <v>0</v>
      </c>
      <c r="N20" s="385">
        <f>工资计算!AX9</f>
        <v>0</v>
      </c>
      <c r="O20" s="386">
        <f t="shared" si="3"/>
        <v>0</v>
      </c>
      <c r="P20" s="387">
        <f>工资计算!AJ9</f>
        <v>0</v>
      </c>
      <c r="Q20" s="387">
        <f t="shared" si="0"/>
        <v>0</v>
      </c>
      <c r="R20" s="388"/>
      <c r="S20" s="375">
        <f t="shared" si="1"/>
        <v>0</v>
      </c>
      <c r="T20" s="376">
        <f t="shared" si="2"/>
        <v>0</v>
      </c>
      <c r="U20" s="1"/>
      <c r="V20" s="1"/>
      <c r="W20" s="1"/>
    </row>
    <row r="21" spans="1:23" ht="18" customHeight="1">
      <c r="A21" s="377">
        <v>9</v>
      </c>
      <c r="B21" s="320" t="e">
        <f>工资计算!#REF!</f>
        <v>#REF!</v>
      </c>
      <c r="C21" s="378" t="s">
        <v>268</v>
      </c>
      <c r="D21" s="379" t="e">
        <f>工资计算!#REF!</f>
        <v>#REF!</v>
      </c>
      <c r="E21" s="320" t="s">
        <v>269</v>
      </c>
      <c r="F21" s="378" t="s">
        <v>270</v>
      </c>
      <c r="G21" s="380"/>
      <c r="H21" s="381" t="e">
        <f>工资计算!#REF!</f>
        <v>#REF!</v>
      </c>
      <c r="I21" s="382" t="e">
        <f>工资计算!#REF!+工资计算!#REF!+工资计算!#REF!+工资计算!#REF!</f>
        <v>#REF!</v>
      </c>
      <c r="J21" s="383"/>
      <c r="K21" s="381">
        <v>1600</v>
      </c>
      <c r="L21" s="384"/>
      <c r="M21" s="381" t="e">
        <f>工资计算!#REF!</f>
        <v>#REF!</v>
      </c>
      <c r="N21" s="385" t="e">
        <f>工资计算!#REF!</f>
        <v>#REF!</v>
      </c>
      <c r="O21" s="386" t="e">
        <f t="shared" si="3"/>
        <v>#REF!</v>
      </c>
      <c r="P21" s="387" t="e">
        <f>工资计算!#REF!</f>
        <v>#REF!</v>
      </c>
      <c r="Q21" s="387" t="e">
        <f t="shared" si="0"/>
        <v>#REF!</v>
      </c>
      <c r="R21" s="388"/>
      <c r="S21" s="375" t="e">
        <f t="shared" si="1"/>
        <v>#REF!</v>
      </c>
      <c r="T21" s="376" t="e">
        <f t="shared" si="2"/>
        <v>#REF!</v>
      </c>
      <c r="U21" s="1"/>
      <c r="V21" s="1"/>
      <c r="W21" s="1"/>
    </row>
    <row r="22" spans="1:23" ht="18" customHeight="1">
      <c r="A22" s="377">
        <v>10</v>
      </c>
      <c r="B22" s="320" t="e">
        <f>工资计算!#REF!</f>
        <v>#REF!</v>
      </c>
      <c r="C22" s="378" t="s">
        <v>268</v>
      </c>
      <c r="D22" s="379" t="e">
        <f>工资计算!#REF!</f>
        <v>#REF!</v>
      </c>
      <c r="E22" s="320" t="s">
        <v>269</v>
      </c>
      <c r="F22" s="378" t="s">
        <v>270</v>
      </c>
      <c r="G22" s="380"/>
      <c r="H22" s="381" t="e">
        <f>工资计算!#REF!</f>
        <v>#REF!</v>
      </c>
      <c r="I22" s="382" t="e">
        <f>工资计算!#REF!+工资计算!#REF!+工资计算!#REF!+工资计算!#REF!</f>
        <v>#REF!</v>
      </c>
      <c r="J22" s="383"/>
      <c r="K22" s="381">
        <v>1600</v>
      </c>
      <c r="L22" s="384"/>
      <c r="M22" s="381" t="e">
        <f>工资计算!#REF!</f>
        <v>#REF!</v>
      </c>
      <c r="N22" s="385" t="e">
        <f>工资计算!#REF!</f>
        <v>#REF!</v>
      </c>
      <c r="O22" s="384"/>
      <c r="P22" s="387" t="e">
        <f>工资计算!#REF!</f>
        <v>#REF!</v>
      </c>
      <c r="Q22" s="387" t="e">
        <f t="shared" si="0"/>
        <v>#REF!</v>
      </c>
      <c r="R22" s="388"/>
      <c r="S22" s="375" t="e">
        <f>IF(N22=0,0,IF(N22&lt;=5%,0,IF(N22=10%,25,IF(N22=15%,125,IF(N22=20%,375,IF(N22=25%,1375))))))</f>
        <v>#REF!</v>
      </c>
      <c r="T22" s="376" t="e">
        <f t="shared" si="2"/>
        <v>#REF!</v>
      </c>
      <c r="U22" s="1"/>
      <c r="V22" s="1"/>
      <c r="W22" s="1"/>
    </row>
    <row r="23" spans="1:23" ht="18" customHeight="1">
      <c r="A23" s="742" t="s">
        <v>271</v>
      </c>
      <c r="B23" s="389" t="s">
        <v>272</v>
      </c>
      <c r="C23" s="390"/>
      <c r="D23" s="390"/>
      <c r="E23" s="390"/>
      <c r="F23" s="390"/>
      <c r="G23" s="390"/>
      <c r="H23" s="390"/>
      <c r="I23" s="390"/>
      <c r="J23" s="390"/>
      <c r="K23" s="390"/>
      <c r="L23" s="390"/>
      <c r="M23" s="390"/>
      <c r="N23" s="390"/>
      <c r="O23" s="390"/>
      <c r="P23" s="390"/>
      <c r="Q23" s="390"/>
      <c r="R23" s="391"/>
      <c r="S23" s="1"/>
      <c r="U23" s="1"/>
      <c r="V23" s="1"/>
      <c r="W23" s="1"/>
    </row>
    <row r="24" spans="1:23" ht="37.5" customHeight="1">
      <c r="A24" s="742"/>
      <c r="B24" s="392"/>
      <c r="C24" s="393"/>
      <c r="D24" s="393"/>
      <c r="E24" s="393"/>
      <c r="F24" s="393"/>
      <c r="G24" s="393"/>
      <c r="H24" s="393"/>
      <c r="I24" s="393"/>
      <c r="J24" s="394" t="s">
        <v>273</v>
      </c>
      <c r="K24" s="393"/>
      <c r="L24" s="393"/>
      <c r="M24" s="393"/>
      <c r="N24" s="393"/>
      <c r="O24" s="393"/>
      <c r="P24" s="393"/>
      <c r="Q24" s="393"/>
      <c r="R24" s="395"/>
      <c r="S24" s="1"/>
      <c r="U24" s="1"/>
      <c r="V24" s="1"/>
      <c r="W24" s="1"/>
    </row>
    <row r="25" spans="1:23" ht="37.5" customHeight="1" thickBot="1">
      <c r="A25" s="396" t="s">
        <v>274</v>
      </c>
      <c r="B25" s="397"/>
      <c r="C25" s="397"/>
      <c r="D25" s="397"/>
      <c r="E25" s="397"/>
      <c r="F25" s="397"/>
      <c r="G25" s="397"/>
      <c r="H25" s="397"/>
      <c r="I25" s="398"/>
      <c r="J25" s="399" t="s">
        <v>275</v>
      </c>
      <c r="K25" s="397"/>
      <c r="L25" s="397"/>
      <c r="M25" s="398"/>
      <c r="N25" s="399" t="s">
        <v>276</v>
      </c>
      <c r="O25" s="397"/>
      <c r="P25" s="397"/>
      <c r="Q25" s="397"/>
      <c r="R25" s="400"/>
      <c r="S25" s="1"/>
      <c r="U25" s="1"/>
      <c r="V25" s="1"/>
      <c r="W25" s="1"/>
    </row>
    <row r="26" spans="1:23" ht="37.5" customHeight="1">
      <c r="A26" s="401" t="s">
        <v>277</v>
      </c>
      <c r="B26" s="401"/>
      <c r="C26" s="401"/>
      <c r="D26" s="401"/>
      <c r="E26" s="401"/>
      <c r="F26" s="401"/>
      <c r="G26" s="401"/>
      <c r="H26" s="401"/>
      <c r="I26" s="402" t="s">
        <v>278</v>
      </c>
      <c r="J26" s="403" t="s">
        <v>279</v>
      </c>
      <c r="K26" s="403" t="s">
        <v>280</v>
      </c>
      <c r="L26" s="736" t="s">
        <v>281</v>
      </c>
      <c r="M26" s="736"/>
      <c r="N26" s="402" t="s">
        <v>282</v>
      </c>
      <c r="O26" s="404"/>
      <c r="P26" s="405"/>
      <c r="Q26" s="405"/>
      <c r="R26" s="405"/>
      <c r="S26" s="1"/>
      <c r="U26" s="1"/>
      <c r="V26" s="1"/>
      <c r="W26" s="1"/>
    </row>
    <row r="27" spans="1:23" ht="18" customHeight="1">
      <c r="A27" s="406" t="s">
        <v>283</v>
      </c>
      <c r="B27" s="406"/>
      <c r="C27" s="406"/>
      <c r="D27" s="406"/>
      <c r="E27" s="406"/>
      <c r="F27" s="406"/>
      <c r="G27" s="406"/>
      <c r="H27" s="406"/>
      <c r="I27" s="406"/>
      <c r="J27" s="406"/>
      <c r="K27" s="406"/>
      <c r="L27" s="406"/>
      <c r="M27" s="406"/>
      <c r="N27" s="406"/>
      <c r="O27" s="406"/>
      <c r="P27" s="406"/>
      <c r="Q27" s="406"/>
      <c r="R27" s="406"/>
      <c r="S27" s="1"/>
      <c r="U27" s="1"/>
      <c r="V27" s="1"/>
      <c r="W27" s="1"/>
    </row>
    <row r="28" spans="1:23" ht="18" customHeight="1">
      <c r="A28" s="407" t="s">
        <v>284</v>
      </c>
      <c r="B28" s="407"/>
      <c r="C28" s="407"/>
      <c r="D28" s="407"/>
      <c r="E28" s="407"/>
      <c r="F28" s="407"/>
      <c r="G28" s="407"/>
      <c r="H28" s="407"/>
      <c r="I28" s="407"/>
      <c r="J28" s="407"/>
      <c r="K28" s="407"/>
      <c r="L28" s="407"/>
      <c r="M28" s="407"/>
      <c r="N28" s="407"/>
      <c r="O28" s="407"/>
      <c r="P28" s="407"/>
      <c r="Q28" s="407"/>
      <c r="R28" s="407"/>
      <c r="S28" s="1"/>
      <c r="U28" s="1"/>
      <c r="V28" s="1"/>
      <c r="W28" s="1"/>
    </row>
    <row r="29" spans="1:2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U29" s="1"/>
      <c r="V29" s="1"/>
      <c r="W29" s="1"/>
    </row>
    <row r="30" spans="1:2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U30" s="1"/>
      <c r="V30" s="1"/>
      <c r="W30" s="1"/>
    </row>
    <row r="31" spans="1:2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U31" s="1"/>
      <c r="V31" s="1"/>
      <c r="W31" s="1"/>
    </row>
    <row r="32" spans="1:2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U32" s="1"/>
      <c r="V32" s="1"/>
      <c r="W32" s="1"/>
    </row>
    <row r="33" spans="1:2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U33" s="1"/>
      <c r="V33" s="1"/>
      <c r="W33" s="1"/>
    </row>
    <row r="34" spans="1:2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U34" s="1"/>
      <c r="V34" s="1"/>
      <c r="W34" s="1"/>
    </row>
    <row r="35" spans="1:2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U35" s="1"/>
      <c r="V35" s="1"/>
      <c r="W35" s="1"/>
    </row>
  </sheetData>
  <mergeCells count="22">
    <mergeCell ref="Q7:R7"/>
    <mergeCell ref="A8:A10"/>
    <mergeCell ref="B8:B10"/>
    <mergeCell ref="C8:C10"/>
    <mergeCell ref="D8:D10"/>
    <mergeCell ref="E8:E10"/>
    <mergeCell ref="F8:F10"/>
    <mergeCell ref="G8:G10"/>
    <mergeCell ref="R8:R10"/>
    <mergeCell ref="O8:O10"/>
    <mergeCell ref="P8:P10"/>
    <mergeCell ref="Q8:Q10"/>
    <mergeCell ref="L26:M26"/>
    <mergeCell ref="N8:N10"/>
    <mergeCell ref="H8:H10"/>
    <mergeCell ref="I8:I10"/>
    <mergeCell ref="L8:L10"/>
    <mergeCell ref="M8:M10"/>
    <mergeCell ref="J8:J10"/>
    <mergeCell ref="K8:K10"/>
    <mergeCell ref="A12:J12"/>
    <mergeCell ref="A23:A24"/>
  </mergeCells>
  <phoneticPr fontId="3" type="noConversion"/>
  <dataValidations count="3">
    <dataValidation type="list" allowBlank="1" showInputMessage="1" showErrorMessage="1" sqref="F13:F22">
      <formula1>"工资薪金所得, 劳务报酬所得 , 稿酬所得  ,特许权使用费所得 , 利息股息红利得 ,  财产租赁所得  , 财产转让所得 ,  偶然所得  ,  经国务院财政部确定征税的其他所得"</formula1>
    </dataValidation>
    <dataValidation type="list" allowBlank="1" showInputMessage="1" showErrorMessage="1" sqref="E13:E22">
      <formula1>"中国"</formula1>
    </dataValidation>
    <dataValidation type="list" allowBlank="1" showInputMessage="1" showErrorMessage="1" sqref="C13:C22">
      <formula1>"身份证,户口簿,护照,回乡证"</formula1>
    </dataValidation>
  </dataValidations>
  <printOptions horizontalCentered="1"/>
  <pageMargins left="0.11811023622047245" right="0.11811023622047245" top="0.98425196850393704" bottom="0.11811023622047245" header="0.51181102362204722" footer="7.874015748031496E-2"/>
  <pageSetup paperSize="9" scale="90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47"/>
  <sheetViews>
    <sheetView showZeros="0" topLeftCell="A16" workbookViewId="0">
      <selection activeCell="D7" sqref="D7:E7"/>
    </sheetView>
  </sheetViews>
  <sheetFormatPr defaultRowHeight="15"/>
  <cols>
    <col min="1" max="1" width="3.5" customWidth="1"/>
    <col min="2" max="2" width="11.75" customWidth="1"/>
    <col min="3" max="3" width="18.5" customWidth="1"/>
    <col min="4" max="4" width="11" customWidth="1"/>
    <col min="5" max="5" width="11.75" customWidth="1"/>
    <col min="6" max="9" width="9.75" customWidth="1"/>
    <col min="10" max="10" width="12.75" customWidth="1"/>
  </cols>
  <sheetData>
    <row r="1" spans="1:1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7">
      <c r="A2" s="1"/>
      <c r="B2" s="408" t="s">
        <v>285</v>
      </c>
      <c r="C2" s="409"/>
      <c r="D2" s="409"/>
      <c r="E2" s="409"/>
      <c r="F2" s="409"/>
      <c r="G2" s="409"/>
      <c r="H2" s="409"/>
      <c r="I2" s="409"/>
      <c r="J2" s="409"/>
      <c r="K2" s="409"/>
      <c r="L2" s="1"/>
    </row>
    <row r="3" spans="1:17" ht="21">
      <c r="A3" s="1"/>
      <c r="B3" s="409"/>
      <c r="C3" s="409"/>
      <c r="D3" s="114" t="s">
        <v>286</v>
      </c>
      <c r="E3" s="410"/>
      <c r="F3" s="411"/>
      <c r="G3" s="410"/>
      <c r="H3" s="410"/>
      <c r="I3" s="409"/>
      <c r="J3" s="409"/>
      <c r="K3" s="409"/>
      <c r="L3" s="1"/>
    </row>
    <row r="4" spans="1:17">
      <c r="A4" s="1"/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1"/>
    </row>
    <row r="5" spans="1:17">
      <c r="A5" s="1"/>
      <c r="B5" s="408" t="s">
        <v>287</v>
      </c>
      <c r="C5" s="408"/>
      <c r="D5" s="409"/>
      <c r="E5" s="409"/>
      <c r="F5" s="409"/>
      <c r="G5" s="408"/>
      <c r="H5" s="409"/>
      <c r="I5" s="409"/>
      <c r="J5" s="409"/>
      <c r="K5" s="409"/>
      <c r="L5" s="1"/>
    </row>
    <row r="6" spans="1:17" ht="18" customHeight="1">
      <c r="A6" s="1"/>
      <c r="B6" s="408" t="s">
        <v>288</v>
      </c>
      <c r="C6" s="409"/>
      <c r="D6" s="409"/>
      <c r="E6" s="409"/>
      <c r="F6" s="409"/>
      <c r="G6" s="409"/>
      <c r="H6" s="412" t="s">
        <v>289</v>
      </c>
      <c r="I6" s="408" t="s">
        <v>290</v>
      </c>
      <c r="J6" s="408"/>
      <c r="K6" s="409"/>
      <c r="L6" s="109"/>
      <c r="O6" s="182"/>
      <c r="P6" s="182"/>
      <c r="Q6" s="182"/>
    </row>
    <row r="7" spans="1:17" ht="15" customHeight="1" thickBot="1">
      <c r="A7" s="1"/>
      <c r="B7" s="409"/>
      <c r="C7" s="409"/>
      <c r="D7" s="750" t="s">
        <v>409</v>
      </c>
      <c r="E7" s="750"/>
      <c r="F7" s="751">
        <v>39172</v>
      </c>
      <c r="G7" s="721"/>
      <c r="H7" s="412" t="s">
        <v>291</v>
      </c>
      <c r="I7" s="752">
        <v>39172</v>
      </c>
      <c r="J7" s="752"/>
      <c r="K7" s="409"/>
      <c r="L7" s="1"/>
      <c r="M7" s="111"/>
      <c r="N7" s="111"/>
      <c r="O7" s="111"/>
    </row>
    <row r="8" spans="1:17" ht="18" customHeight="1">
      <c r="A8" s="1"/>
      <c r="B8" s="753" t="s">
        <v>292</v>
      </c>
      <c r="C8" s="755" t="s">
        <v>293</v>
      </c>
      <c r="D8" s="757" t="s">
        <v>294</v>
      </c>
      <c r="E8" s="757"/>
      <c r="F8" s="757"/>
      <c r="G8" s="757"/>
      <c r="H8" s="757"/>
      <c r="I8" s="757"/>
      <c r="J8" s="764" t="s">
        <v>295</v>
      </c>
      <c r="K8" s="413"/>
      <c r="L8" s="254"/>
    </row>
    <row r="9" spans="1:17" ht="15" customHeight="1">
      <c r="A9" s="1"/>
      <c r="B9" s="754"/>
      <c r="C9" s="756"/>
      <c r="D9" s="766" t="s">
        <v>296</v>
      </c>
      <c r="E9" s="759" t="s">
        <v>297</v>
      </c>
      <c r="F9" s="759" t="s">
        <v>298</v>
      </c>
      <c r="G9" s="759" t="s">
        <v>299</v>
      </c>
      <c r="H9" s="759" t="s">
        <v>300</v>
      </c>
      <c r="I9" s="761" t="s">
        <v>301</v>
      </c>
      <c r="J9" s="765"/>
      <c r="K9" s="352"/>
      <c r="L9" s="350"/>
    </row>
    <row r="10" spans="1:17" ht="15" customHeight="1">
      <c r="A10" s="1"/>
      <c r="B10" s="754"/>
      <c r="C10" s="756"/>
      <c r="D10" s="767"/>
      <c r="E10" s="760"/>
      <c r="F10" s="760"/>
      <c r="G10" s="760"/>
      <c r="H10" s="760"/>
      <c r="I10" s="762"/>
      <c r="J10" s="765"/>
      <c r="K10" s="413"/>
      <c r="L10" s="254"/>
    </row>
    <row r="11" spans="1:17" ht="12.75" customHeight="1">
      <c r="A11" s="1"/>
      <c r="B11" s="414">
        <v>1</v>
      </c>
      <c r="C11" s="415">
        <v>2</v>
      </c>
      <c r="D11" s="416" t="s">
        <v>302</v>
      </c>
      <c r="E11" s="417">
        <v>4</v>
      </c>
      <c r="F11" s="417">
        <v>5</v>
      </c>
      <c r="G11" s="417">
        <v>6</v>
      </c>
      <c r="H11" s="417">
        <v>7</v>
      </c>
      <c r="I11" s="418">
        <v>8</v>
      </c>
      <c r="J11" s="419">
        <v>9</v>
      </c>
      <c r="K11" s="413"/>
      <c r="L11" s="254"/>
    </row>
    <row r="12" spans="1:17" ht="18" customHeight="1">
      <c r="A12" s="1"/>
      <c r="B12" s="420" t="str">
        <f>工资计算!I3</f>
        <v>ABC</v>
      </c>
      <c r="C12" s="421">
        <f>工资计算!AS3</f>
        <v>0</v>
      </c>
      <c r="D12" s="422">
        <f>SUM(E12:I12)</f>
        <v>4292</v>
      </c>
      <c r="E12" s="423">
        <f>工资计算!Y3</f>
        <v>4292</v>
      </c>
      <c r="F12" s="423"/>
      <c r="G12" s="423"/>
      <c r="H12" s="423"/>
      <c r="I12" s="424"/>
      <c r="J12" s="425"/>
      <c r="K12" s="413"/>
      <c r="L12" s="254"/>
    </row>
    <row r="13" spans="1:17" ht="18" customHeight="1">
      <c r="A13" s="1"/>
      <c r="B13" s="420" t="str">
        <f>工资计算!I4</f>
        <v>CBD</v>
      </c>
      <c r="C13" s="421">
        <f>工资计算!AS4</f>
        <v>0</v>
      </c>
      <c r="D13" s="426">
        <f t="shared" ref="D13:D24" si="0">SUM(E13:I13)</f>
        <v>4292</v>
      </c>
      <c r="E13" s="423">
        <f>工资计算!Y4</f>
        <v>4292</v>
      </c>
      <c r="F13" s="427"/>
      <c r="G13" s="427"/>
      <c r="H13" s="427"/>
      <c r="I13" s="428"/>
      <c r="J13" s="429"/>
      <c r="K13" s="413"/>
      <c r="L13" s="254"/>
    </row>
    <row r="14" spans="1:17" ht="18" customHeight="1">
      <c r="A14" s="1"/>
      <c r="B14" s="420">
        <f>工资计算!I5</f>
        <v>0</v>
      </c>
      <c r="C14" s="421">
        <f>工资计算!AS5</f>
        <v>0</v>
      </c>
      <c r="D14" s="426">
        <f t="shared" si="0"/>
        <v>0</v>
      </c>
      <c r="E14" s="423">
        <f>工资计算!Y5</f>
        <v>0</v>
      </c>
      <c r="F14" s="427"/>
      <c r="G14" s="427"/>
      <c r="H14" s="427"/>
      <c r="I14" s="428"/>
      <c r="J14" s="429"/>
      <c r="K14" s="413"/>
      <c r="L14" s="254"/>
    </row>
    <row r="15" spans="1:17" ht="18" customHeight="1">
      <c r="A15" s="1"/>
      <c r="B15" s="420" t="e">
        <f>工资计算!#REF!</f>
        <v>#REF!</v>
      </c>
      <c r="C15" s="421" t="e">
        <f>工资计算!#REF!</f>
        <v>#REF!</v>
      </c>
      <c r="D15" s="426" t="e">
        <f t="shared" si="0"/>
        <v>#REF!</v>
      </c>
      <c r="E15" s="423" t="e">
        <f>工资计算!#REF!</f>
        <v>#REF!</v>
      </c>
      <c r="F15" s="427"/>
      <c r="G15" s="427"/>
      <c r="H15" s="427"/>
      <c r="I15" s="428"/>
      <c r="J15" s="429"/>
      <c r="K15" s="413"/>
      <c r="L15" s="254"/>
    </row>
    <row r="16" spans="1:17" ht="18" customHeight="1">
      <c r="A16" s="1"/>
      <c r="B16" s="420">
        <f>工资计算!I6</f>
        <v>0</v>
      </c>
      <c r="C16" s="421">
        <f>工资计算!AS6</f>
        <v>0</v>
      </c>
      <c r="D16" s="426">
        <f t="shared" si="0"/>
        <v>0</v>
      </c>
      <c r="E16" s="423">
        <f>工资计算!Y6</f>
        <v>0</v>
      </c>
      <c r="F16" s="427"/>
      <c r="G16" s="427"/>
      <c r="H16" s="427"/>
      <c r="I16" s="428"/>
      <c r="J16" s="429"/>
      <c r="K16" s="413"/>
      <c r="L16" s="254"/>
    </row>
    <row r="17" spans="1:12" ht="18" customHeight="1">
      <c r="A17" s="1"/>
      <c r="B17" s="420">
        <f>工资计算!I7</f>
        <v>0</v>
      </c>
      <c r="C17" s="421">
        <f>工资计算!AS7</f>
        <v>0</v>
      </c>
      <c r="D17" s="426">
        <f t="shared" si="0"/>
        <v>0</v>
      </c>
      <c r="E17" s="423">
        <f>工资计算!Y7</f>
        <v>0</v>
      </c>
      <c r="F17" s="427"/>
      <c r="G17" s="427"/>
      <c r="H17" s="427"/>
      <c r="I17" s="428"/>
      <c r="J17" s="429"/>
      <c r="K17" s="413"/>
      <c r="L17" s="254"/>
    </row>
    <row r="18" spans="1:12" ht="18" customHeight="1">
      <c r="A18" s="1"/>
      <c r="B18" s="420">
        <f>工资计算!I8</f>
        <v>0</v>
      </c>
      <c r="C18" s="421">
        <f>工资计算!AS8</f>
        <v>0</v>
      </c>
      <c r="D18" s="426">
        <f t="shared" si="0"/>
        <v>0</v>
      </c>
      <c r="E18" s="423">
        <f>工资计算!Y8</f>
        <v>0</v>
      </c>
      <c r="F18" s="427"/>
      <c r="G18" s="427"/>
      <c r="H18" s="427"/>
      <c r="I18" s="428"/>
      <c r="J18" s="429"/>
      <c r="K18" s="413"/>
      <c r="L18" s="254"/>
    </row>
    <row r="19" spans="1:12" ht="18" customHeight="1">
      <c r="A19" s="1"/>
      <c r="B19" s="420">
        <f>工资计算!I9</f>
        <v>0</v>
      </c>
      <c r="C19" s="421">
        <f>工资计算!AS9</f>
        <v>0</v>
      </c>
      <c r="D19" s="426">
        <f t="shared" si="0"/>
        <v>0</v>
      </c>
      <c r="E19" s="423">
        <f>工资计算!Y9</f>
        <v>0</v>
      </c>
      <c r="F19" s="427"/>
      <c r="G19" s="427"/>
      <c r="H19" s="427"/>
      <c r="I19" s="428"/>
      <c r="J19" s="429"/>
      <c r="K19" s="413"/>
      <c r="L19" s="254"/>
    </row>
    <row r="20" spans="1:12" ht="18" customHeight="1">
      <c r="A20" s="1"/>
      <c r="B20" s="420" t="e">
        <f>工资计算!#REF!</f>
        <v>#REF!</v>
      </c>
      <c r="C20" s="421" t="e">
        <f>工资计算!#REF!</f>
        <v>#REF!</v>
      </c>
      <c r="D20" s="426" t="e">
        <f t="shared" si="0"/>
        <v>#REF!</v>
      </c>
      <c r="E20" s="423" t="e">
        <f>工资计算!#REF!</f>
        <v>#REF!</v>
      </c>
      <c r="F20" s="427"/>
      <c r="G20" s="427"/>
      <c r="H20" s="427"/>
      <c r="I20" s="428"/>
      <c r="J20" s="429"/>
      <c r="K20" s="413"/>
      <c r="L20" s="254"/>
    </row>
    <row r="21" spans="1:12" ht="18" customHeight="1">
      <c r="A21" s="1"/>
      <c r="B21" s="420" t="e">
        <f>工资计算!#REF!</f>
        <v>#REF!</v>
      </c>
      <c r="C21" s="421" t="e">
        <f>工资计算!#REF!</f>
        <v>#REF!</v>
      </c>
      <c r="D21" s="426" t="e">
        <f t="shared" si="0"/>
        <v>#REF!</v>
      </c>
      <c r="E21" s="423" t="e">
        <f>工资计算!#REF!</f>
        <v>#REF!</v>
      </c>
      <c r="F21" s="427"/>
      <c r="G21" s="427"/>
      <c r="H21" s="427"/>
      <c r="I21" s="428"/>
      <c r="J21" s="429"/>
      <c r="K21" s="413"/>
      <c r="L21" s="254"/>
    </row>
    <row r="22" spans="1:12" ht="18" customHeight="1">
      <c r="A22" s="1"/>
      <c r="B22" s="420" t="e">
        <f>工资计算!#REF!</f>
        <v>#REF!</v>
      </c>
      <c r="C22" s="421" t="e">
        <f>工资计算!#REF!</f>
        <v>#REF!</v>
      </c>
      <c r="D22" s="426" t="e">
        <f t="shared" si="0"/>
        <v>#REF!</v>
      </c>
      <c r="E22" s="423" t="e">
        <f>工资计算!#REF!</f>
        <v>#REF!</v>
      </c>
      <c r="F22" s="427"/>
      <c r="G22" s="427"/>
      <c r="H22" s="427"/>
      <c r="I22" s="428"/>
      <c r="J22" s="429"/>
      <c r="K22" s="413"/>
      <c r="L22" s="254"/>
    </row>
    <row r="23" spans="1:12" ht="18" customHeight="1">
      <c r="A23" s="1"/>
      <c r="B23" s="420" t="e">
        <f>工资计算!#REF!</f>
        <v>#REF!</v>
      </c>
      <c r="C23" s="421" t="e">
        <f>工资计算!#REF!</f>
        <v>#REF!</v>
      </c>
      <c r="D23" s="426" t="e">
        <f t="shared" si="0"/>
        <v>#REF!</v>
      </c>
      <c r="E23" s="423" t="e">
        <f>工资计算!#REF!</f>
        <v>#REF!</v>
      </c>
      <c r="F23" s="427"/>
      <c r="G23" s="427"/>
      <c r="H23" s="427"/>
      <c r="I23" s="428"/>
      <c r="J23" s="429"/>
      <c r="K23" s="413"/>
      <c r="L23" s="254"/>
    </row>
    <row r="24" spans="1:12" ht="18" customHeight="1">
      <c r="A24" s="1"/>
      <c r="B24" s="420" t="e">
        <f>工资计算!#REF!</f>
        <v>#REF!</v>
      </c>
      <c r="C24" s="421" t="e">
        <f>工资计算!#REF!</f>
        <v>#REF!</v>
      </c>
      <c r="D24" s="426" t="e">
        <f t="shared" si="0"/>
        <v>#REF!</v>
      </c>
      <c r="E24" s="423" t="e">
        <f>工资计算!#REF!</f>
        <v>#REF!</v>
      </c>
      <c r="F24" s="427"/>
      <c r="G24" s="427"/>
      <c r="H24" s="427"/>
      <c r="I24" s="428"/>
      <c r="J24" s="429"/>
      <c r="K24" s="413"/>
      <c r="L24" s="254"/>
    </row>
    <row r="25" spans="1:12" ht="18" customHeight="1">
      <c r="A25" s="1"/>
      <c r="B25" s="420" t="e">
        <f>工资计算!#REF!</f>
        <v>#REF!</v>
      </c>
      <c r="C25" s="421" t="e">
        <f>工资计算!#REF!</f>
        <v>#REF!</v>
      </c>
      <c r="D25" s="426" t="e">
        <f>SUM(E25:I25)</f>
        <v>#REF!</v>
      </c>
      <c r="E25" s="423" t="e">
        <f>工资计算!#REF!</f>
        <v>#REF!</v>
      </c>
      <c r="F25" s="427"/>
      <c r="G25" s="427"/>
      <c r="H25" s="427"/>
      <c r="I25" s="428"/>
      <c r="J25" s="429"/>
      <c r="K25" s="413"/>
      <c r="L25" s="254"/>
    </row>
    <row r="26" spans="1:12" ht="18" customHeight="1" thickBot="1">
      <c r="A26" s="1"/>
      <c r="B26" s="446" t="s">
        <v>296</v>
      </c>
      <c r="C26" s="447"/>
      <c r="D26" s="430" t="e">
        <f t="shared" ref="D26:I26" si="1">SUM(D12:D25)</f>
        <v>#REF!</v>
      </c>
      <c r="E26" s="431" t="e">
        <f t="shared" si="1"/>
        <v>#REF!</v>
      </c>
      <c r="F26" s="431">
        <f t="shared" si="1"/>
        <v>0</v>
      </c>
      <c r="G26" s="431">
        <f t="shared" si="1"/>
        <v>0</v>
      </c>
      <c r="H26" s="431">
        <f t="shared" si="1"/>
        <v>0</v>
      </c>
      <c r="I26" s="432">
        <f t="shared" si="1"/>
        <v>0</v>
      </c>
      <c r="J26" s="433"/>
      <c r="K26" s="413"/>
      <c r="L26" s="254"/>
    </row>
    <row r="27" spans="1:12" ht="30.75" customHeight="1">
      <c r="A27" s="1"/>
      <c r="B27" s="412" t="s">
        <v>303</v>
      </c>
      <c r="C27" s="434"/>
      <c r="D27" s="1"/>
      <c r="E27" s="1"/>
      <c r="F27" s="1"/>
      <c r="G27" s="1"/>
      <c r="H27" s="408" t="s">
        <v>304</v>
      </c>
      <c r="I27" s="1"/>
      <c r="J27" s="1"/>
      <c r="K27" s="1"/>
      <c r="L27" s="1"/>
    </row>
    <row r="28" spans="1:12" ht="18" customHeight="1">
      <c r="A28" s="1"/>
      <c r="B28" s="763" t="s">
        <v>305</v>
      </c>
      <c r="C28" s="763"/>
      <c r="D28" s="763"/>
      <c r="E28" s="763"/>
      <c r="F28" s="763"/>
      <c r="G28" s="763"/>
      <c r="H28" s="763"/>
      <c r="I28" s="763"/>
      <c r="J28" s="763"/>
      <c r="K28" s="1"/>
      <c r="L28" s="1"/>
    </row>
    <row r="29" spans="1:12" ht="4.5" customHeight="1">
      <c r="A29" s="1"/>
      <c r="B29" s="758" t="s">
        <v>306</v>
      </c>
      <c r="C29" s="758"/>
      <c r="D29" s="758"/>
      <c r="E29" s="758"/>
      <c r="F29" s="758"/>
      <c r="G29" s="758"/>
      <c r="H29" s="758"/>
      <c r="I29" s="758"/>
      <c r="J29" s="758"/>
      <c r="K29" s="1"/>
      <c r="L29" s="1"/>
    </row>
    <row r="30" spans="1:12" ht="15.75" customHeight="1">
      <c r="A30" s="1"/>
      <c r="B30" s="758"/>
      <c r="C30" s="758"/>
      <c r="D30" s="758"/>
      <c r="E30" s="758"/>
      <c r="F30" s="758"/>
      <c r="G30" s="758"/>
      <c r="H30" s="758"/>
      <c r="I30" s="758"/>
      <c r="J30" s="758"/>
      <c r="K30" s="1"/>
      <c r="L30" s="1"/>
    </row>
    <row r="31" spans="1:12" ht="15.75" customHeight="1">
      <c r="A31" s="1"/>
      <c r="B31" s="435" t="s">
        <v>307</v>
      </c>
      <c r="C31" s="436"/>
      <c r="D31" s="436"/>
      <c r="E31" s="436"/>
      <c r="F31" s="436"/>
      <c r="G31" s="436"/>
      <c r="H31" s="436"/>
      <c r="I31" s="436"/>
      <c r="J31" s="436"/>
      <c r="K31" s="1"/>
      <c r="L31" s="1"/>
    </row>
    <row r="32" spans="1:12" ht="15" customHeight="1">
      <c r="A32" s="1"/>
      <c r="B32" s="109" t="s">
        <v>308</v>
      </c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15" customHeight="1">
      <c r="A33" s="1"/>
      <c r="B33" s="109" t="s">
        <v>309</v>
      </c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15" customHeight="1">
      <c r="A34" s="1"/>
      <c r="B34" s="109" t="s">
        <v>310</v>
      </c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5" customHeight="1">
      <c r="A35" s="1"/>
      <c r="B35" s="109" t="s">
        <v>311</v>
      </c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15" customHeight="1">
      <c r="A36" s="1"/>
      <c r="B36" s="109" t="s">
        <v>312</v>
      </c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>
      <c r="A37" s="1"/>
      <c r="B37" s="109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</sheetData>
  <mergeCells count="15">
    <mergeCell ref="B29:J30"/>
    <mergeCell ref="G9:G10"/>
    <mergeCell ref="H9:H10"/>
    <mergeCell ref="I9:I10"/>
    <mergeCell ref="B28:J28"/>
    <mergeCell ref="J8:J10"/>
    <mergeCell ref="D9:D10"/>
    <mergeCell ref="E9:E10"/>
    <mergeCell ref="F9:F10"/>
    <mergeCell ref="D7:E7"/>
    <mergeCell ref="F7:G7"/>
    <mergeCell ref="I7:J7"/>
    <mergeCell ref="B8:B10"/>
    <mergeCell ref="C8:C10"/>
    <mergeCell ref="D8:I8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90"/>
  <sheetViews>
    <sheetView workbookViewId="0">
      <selection activeCell="C13" sqref="C13"/>
    </sheetView>
  </sheetViews>
  <sheetFormatPr defaultRowHeight="15"/>
  <cols>
    <col min="1" max="1" width="18.75" bestFit="1" customWidth="1"/>
    <col min="2" max="2" width="24.25" style="111" customWidth="1"/>
    <col min="3" max="3" width="18.75" bestFit="1" customWidth="1"/>
    <col min="5" max="5" width="20.25" customWidth="1"/>
  </cols>
  <sheetData>
    <row r="1" spans="1:7" ht="14.25" customHeight="1">
      <c r="A1" s="437">
        <v>38718</v>
      </c>
      <c r="B1" s="111" t="s">
        <v>313</v>
      </c>
      <c r="C1" s="437">
        <v>38718</v>
      </c>
      <c r="E1" s="438">
        <f ca="1">NOW()</f>
        <v>43635.62968784722</v>
      </c>
    </row>
    <row r="2" spans="1:7" ht="14.25" customHeight="1">
      <c r="A2" s="437">
        <v>38750</v>
      </c>
      <c r="B2" s="111" t="s">
        <v>314</v>
      </c>
      <c r="C2" s="437">
        <v>38750</v>
      </c>
      <c r="E2" s="476" t="str">
        <f t="array" aca="1" ref="E2" ca="1">IF(OR(TEXT($E$1,"mmdd")=TEXT($A$1:$A$73,"mmdd"))*($E$1&lt;&gt;""),"今天是:"&amp;OFFSET($B$1,MATCH(TEXT($E$1,"mmdd"),TEXT($A$1:$A$73,"mmdd"),)-1,),"")</f>
        <v/>
      </c>
    </row>
    <row r="3" spans="1:7" ht="14.25" customHeight="1">
      <c r="A3" s="437">
        <v>38762</v>
      </c>
      <c r="B3" s="111" t="s">
        <v>315</v>
      </c>
      <c r="C3" s="437">
        <v>38762</v>
      </c>
      <c r="E3" s="439"/>
    </row>
    <row r="4" spans="1:7" ht="14.25" customHeight="1">
      <c r="A4" s="437">
        <v>38784</v>
      </c>
      <c r="B4" s="111" t="s">
        <v>316</v>
      </c>
      <c r="C4" s="437">
        <v>38784</v>
      </c>
    </row>
    <row r="5" spans="1:7" ht="14.25" customHeight="1">
      <c r="A5" s="437">
        <v>38791</v>
      </c>
      <c r="B5" s="111" t="s">
        <v>317</v>
      </c>
      <c r="C5" s="437">
        <v>38791</v>
      </c>
      <c r="G5" s="440" t="s">
        <v>318</v>
      </c>
    </row>
    <row r="6" spans="1:7" ht="14.25" customHeight="1">
      <c r="A6" s="437">
        <v>38797</v>
      </c>
      <c r="B6" s="111" t="s">
        <v>319</v>
      </c>
      <c r="C6" s="437">
        <v>38797</v>
      </c>
    </row>
    <row r="7" spans="1:7" ht="14.25" customHeight="1">
      <c r="A7" s="437">
        <v>38797</v>
      </c>
      <c r="B7" s="111" t="s">
        <v>320</v>
      </c>
      <c r="C7" s="437">
        <v>38797</v>
      </c>
    </row>
    <row r="8" spans="1:7" ht="14.25" customHeight="1">
      <c r="A8" s="437">
        <v>38798</v>
      </c>
      <c r="B8" s="111" t="s">
        <v>321</v>
      </c>
      <c r="C8" s="437">
        <v>38798</v>
      </c>
    </row>
    <row r="9" spans="1:7" ht="14.25" customHeight="1">
      <c r="A9" s="437">
        <v>38799</v>
      </c>
      <c r="B9" s="111" t="s">
        <v>322</v>
      </c>
      <c r="C9" s="437">
        <v>38799</v>
      </c>
    </row>
    <row r="10" spans="1:7" ht="14.25" customHeight="1">
      <c r="A10" s="437">
        <v>38800</v>
      </c>
      <c r="B10" s="111" t="s">
        <v>323</v>
      </c>
      <c r="C10" s="437">
        <v>38800</v>
      </c>
    </row>
    <row r="11" spans="1:7" ht="14.25" customHeight="1">
      <c r="A11" s="437">
        <v>38808</v>
      </c>
      <c r="B11" s="111" t="s">
        <v>324</v>
      </c>
      <c r="C11" s="437">
        <v>38808</v>
      </c>
    </row>
    <row r="12" spans="1:7" ht="14.25" customHeight="1">
      <c r="A12" s="437">
        <v>38812</v>
      </c>
      <c r="B12" s="111" t="s">
        <v>325</v>
      </c>
      <c r="C12" s="437">
        <v>38812</v>
      </c>
    </row>
    <row r="13" spans="1:7" ht="14.25" customHeight="1">
      <c r="A13" s="437">
        <v>38814</v>
      </c>
      <c r="B13" s="111" t="s">
        <v>326</v>
      </c>
      <c r="C13" s="437">
        <v>38814</v>
      </c>
    </row>
    <row r="14" spans="1:7" ht="14.25" customHeight="1">
      <c r="A14" s="437">
        <v>38829</v>
      </c>
      <c r="B14" s="111" t="s">
        <v>327</v>
      </c>
      <c r="C14" s="437">
        <v>38829</v>
      </c>
    </row>
    <row r="15" spans="1:7" ht="14.25" customHeight="1">
      <c r="A15" s="437">
        <v>38833</v>
      </c>
      <c r="B15" s="111" t="s">
        <v>328</v>
      </c>
      <c r="C15" s="437">
        <v>38833</v>
      </c>
    </row>
    <row r="16" spans="1:7" ht="14.25" customHeight="1">
      <c r="A16" s="441"/>
      <c r="B16" s="111" t="s">
        <v>329</v>
      </c>
      <c r="C16" s="441" t="s">
        <v>330</v>
      </c>
    </row>
    <row r="17" spans="1:3" ht="14.25" customHeight="1">
      <c r="A17" s="441"/>
      <c r="B17" s="111" t="s">
        <v>331</v>
      </c>
      <c r="C17" s="441" t="s">
        <v>332</v>
      </c>
    </row>
    <row r="18" spans="1:3" ht="14.25" customHeight="1">
      <c r="A18" s="441"/>
      <c r="B18" s="111" t="s">
        <v>333</v>
      </c>
      <c r="C18" s="441" t="s">
        <v>334</v>
      </c>
    </row>
    <row r="19" spans="1:3" ht="14.25" customHeight="1">
      <c r="A19" s="437">
        <v>38838</v>
      </c>
      <c r="B19" s="111" t="s">
        <v>335</v>
      </c>
      <c r="C19" s="437">
        <v>38838</v>
      </c>
    </row>
    <row r="20" spans="1:3" ht="14.25" customHeight="1">
      <c r="A20" s="437">
        <v>38841</v>
      </c>
      <c r="B20" s="111" t="s">
        <v>336</v>
      </c>
      <c r="C20" s="437">
        <v>38841</v>
      </c>
    </row>
    <row r="21" spans="1:3" ht="14.25" customHeight="1">
      <c r="A21" s="437">
        <v>38845</v>
      </c>
      <c r="B21" s="111" t="s">
        <v>337</v>
      </c>
      <c r="C21" s="437">
        <v>38845</v>
      </c>
    </row>
    <row r="22" spans="1:3" ht="14.25" customHeight="1">
      <c r="A22" s="441"/>
      <c r="B22" s="111" t="s">
        <v>338</v>
      </c>
      <c r="C22" s="441" t="s">
        <v>339</v>
      </c>
    </row>
    <row r="23" spans="1:3" ht="14.25" customHeight="1">
      <c r="A23" s="437">
        <v>38849</v>
      </c>
      <c r="B23" s="111" t="s">
        <v>340</v>
      </c>
      <c r="C23" s="437">
        <v>38849</v>
      </c>
    </row>
    <row r="24" spans="1:3" ht="14.25" customHeight="1">
      <c r="A24" s="441"/>
      <c r="B24" s="111" t="s">
        <v>341</v>
      </c>
      <c r="C24" s="441" t="s">
        <v>342</v>
      </c>
    </row>
    <row r="25" spans="1:3" ht="14.25" customHeight="1">
      <c r="A25" s="437">
        <v>38852</v>
      </c>
      <c r="B25" s="111" t="s">
        <v>343</v>
      </c>
      <c r="C25" s="437">
        <v>38852</v>
      </c>
    </row>
    <row r="26" spans="1:3" ht="14.25" customHeight="1">
      <c r="A26" s="437">
        <v>38854</v>
      </c>
      <c r="B26" s="111" t="s">
        <v>344</v>
      </c>
      <c r="C26" s="437">
        <v>38854</v>
      </c>
    </row>
    <row r="27" spans="1:3" ht="14.25" customHeight="1">
      <c r="A27" s="437">
        <v>38855</v>
      </c>
      <c r="B27" s="111" t="s">
        <v>345</v>
      </c>
      <c r="C27" s="437">
        <v>38855</v>
      </c>
    </row>
    <row r="28" spans="1:3" ht="14.25" customHeight="1">
      <c r="A28" s="437">
        <v>38868</v>
      </c>
      <c r="B28" s="111" t="s">
        <v>346</v>
      </c>
      <c r="C28" s="437">
        <v>38868</v>
      </c>
    </row>
    <row r="29" spans="1:3" ht="14.25" customHeight="1">
      <c r="A29" s="437">
        <v>38869</v>
      </c>
      <c r="B29" s="111" t="s">
        <v>347</v>
      </c>
      <c r="C29" s="437">
        <v>38869</v>
      </c>
    </row>
    <row r="30" spans="1:3" ht="14.25" customHeight="1">
      <c r="A30" s="437">
        <v>38873</v>
      </c>
      <c r="B30" s="111" t="s">
        <v>348</v>
      </c>
      <c r="C30" s="437">
        <v>38873</v>
      </c>
    </row>
    <row r="31" spans="1:3" ht="14.25" customHeight="1">
      <c r="A31" s="437">
        <v>38885</v>
      </c>
      <c r="B31" s="111" t="s">
        <v>349</v>
      </c>
      <c r="C31" s="437">
        <v>38885</v>
      </c>
    </row>
    <row r="32" spans="1:3" ht="14.25" customHeight="1">
      <c r="A32" s="437">
        <v>38888</v>
      </c>
      <c r="B32" s="111" t="s">
        <v>350</v>
      </c>
      <c r="C32" s="437">
        <v>38888</v>
      </c>
    </row>
    <row r="33" spans="1:3" ht="14.25" customHeight="1">
      <c r="A33" s="437">
        <v>38891</v>
      </c>
      <c r="B33" s="111" t="s">
        <v>351</v>
      </c>
      <c r="C33" s="437">
        <v>38891</v>
      </c>
    </row>
    <row r="34" spans="1:3" ht="14.25" customHeight="1">
      <c r="A34" s="437">
        <v>38894</v>
      </c>
      <c r="B34" s="111" t="s">
        <v>352</v>
      </c>
      <c r="C34" s="437">
        <v>38894</v>
      </c>
    </row>
    <row r="35" spans="1:3" ht="14.25" customHeight="1">
      <c r="A35" s="437">
        <v>38894</v>
      </c>
      <c r="B35" s="111" t="s">
        <v>353</v>
      </c>
      <c r="C35" s="437">
        <v>38894</v>
      </c>
    </row>
    <row r="36" spans="1:3" ht="14.25" customHeight="1">
      <c r="A36" s="441"/>
      <c r="B36" s="111" t="s">
        <v>354</v>
      </c>
      <c r="C36" s="441" t="s">
        <v>355</v>
      </c>
    </row>
    <row r="37" spans="1:3" ht="14.25" customHeight="1">
      <c r="A37" s="441"/>
      <c r="B37" s="111" t="s">
        <v>356</v>
      </c>
      <c r="C37" s="441" t="s">
        <v>357</v>
      </c>
    </row>
    <row r="38" spans="1:3" ht="14.25" customHeight="1">
      <c r="A38" s="437">
        <v>38909</v>
      </c>
      <c r="B38" s="111" t="s">
        <v>358</v>
      </c>
      <c r="C38" s="437">
        <v>38909</v>
      </c>
    </row>
    <row r="39" spans="1:3" ht="14.25" customHeight="1">
      <c r="A39" s="437">
        <v>38968</v>
      </c>
      <c r="B39" s="111" t="s">
        <v>359</v>
      </c>
      <c r="C39" s="437">
        <v>38968</v>
      </c>
    </row>
    <row r="40" spans="1:3" ht="14.25" customHeight="1">
      <c r="A40" s="437">
        <v>38970</v>
      </c>
      <c r="B40" s="111" t="s">
        <v>360</v>
      </c>
      <c r="C40" s="437">
        <v>38970</v>
      </c>
    </row>
    <row r="41" spans="1:3" ht="14.25" customHeight="1">
      <c r="A41" s="437">
        <v>38976</v>
      </c>
      <c r="B41" s="111" t="s">
        <v>361</v>
      </c>
      <c r="C41" s="437">
        <v>38976</v>
      </c>
    </row>
    <row r="42" spans="1:3" ht="14.25" customHeight="1">
      <c r="A42" s="437">
        <v>38980</v>
      </c>
      <c r="B42" s="111" t="s">
        <v>362</v>
      </c>
      <c r="C42" s="437">
        <v>38980</v>
      </c>
    </row>
    <row r="43" spans="1:3" ht="14.25" customHeight="1">
      <c r="A43" s="437">
        <v>38987</v>
      </c>
      <c r="B43" s="111" t="s">
        <v>363</v>
      </c>
      <c r="C43" s="437">
        <v>38987</v>
      </c>
    </row>
    <row r="44" spans="1:3" ht="14.25" customHeight="1">
      <c r="A44" s="441"/>
      <c r="B44" s="111" t="s">
        <v>364</v>
      </c>
      <c r="C44" s="441" t="s">
        <v>365</v>
      </c>
    </row>
    <row r="45" spans="1:3" ht="14.25" customHeight="1">
      <c r="A45" s="441"/>
      <c r="B45" s="111" t="s">
        <v>366</v>
      </c>
      <c r="C45" s="441" t="s">
        <v>367</v>
      </c>
    </row>
    <row r="46" spans="1:3" ht="14.25" customHeight="1">
      <c r="A46" s="437">
        <v>38991</v>
      </c>
      <c r="B46" s="111" t="s">
        <v>368</v>
      </c>
      <c r="C46" s="437">
        <v>38991</v>
      </c>
    </row>
    <row r="47" spans="1:3" ht="14.25" customHeight="1">
      <c r="A47" s="437">
        <v>38991</v>
      </c>
      <c r="B47" s="111" t="s">
        <v>369</v>
      </c>
      <c r="C47" s="437">
        <v>38991</v>
      </c>
    </row>
    <row r="48" spans="1:3" ht="14.25" customHeight="1">
      <c r="A48" s="437">
        <v>38994</v>
      </c>
      <c r="B48" s="111" t="s">
        <v>370</v>
      </c>
      <c r="C48" s="437">
        <v>38994</v>
      </c>
    </row>
    <row r="49" spans="1:3" ht="14.25" customHeight="1">
      <c r="A49" s="437">
        <v>38999</v>
      </c>
      <c r="B49" s="111" t="s">
        <v>371</v>
      </c>
      <c r="C49" s="437">
        <v>38999</v>
      </c>
    </row>
    <row r="50" spans="1:3" ht="14.25" customHeight="1">
      <c r="A50" s="437">
        <v>39004</v>
      </c>
      <c r="B50" s="111" t="s">
        <v>372</v>
      </c>
      <c r="C50" s="437">
        <v>39004</v>
      </c>
    </row>
    <row r="51" spans="1:3" ht="14.25" customHeight="1">
      <c r="A51" s="437">
        <v>39005</v>
      </c>
      <c r="B51" s="111" t="s">
        <v>373</v>
      </c>
      <c r="C51" s="437">
        <v>39005</v>
      </c>
    </row>
    <row r="52" spans="1:3" ht="14.25" customHeight="1">
      <c r="A52" s="437">
        <v>39006</v>
      </c>
      <c r="B52" s="111" t="s">
        <v>374</v>
      </c>
      <c r="C52" s="437">
        <v>39006</v>
      </c>
    </row>
    <row r="53" spans="1:3" ht="14.25" customHeight="1">
      <c r="A53" s="437">
        <v>39007</v>
      </c>
      <c r="B53" s="111" t="s">
        <v>375</v>
      </c>
      <c r="C53" s="437">
        <v>39007</v>
      </c>
    </row>
    <row r="54" spans="1:3" ht="14.25" customHeight="1">
      <c r="A54" s="437">
        <v>39021</v>
      </c>
      <c r="B54" s="111" t="s">
        <v>376</v>
      </c>
      <c r="C54" s="437">
        <v>39021</v>
      </c>
    </row>
    <row r="55" spans="1:3" ht="14.25" customHeight="1">
      <c r="A55" s="437">
        <v>39035</v>
      </c>
      <c r="B55" s="111" t="s">
        <v>377</v>
      </c>
      <c r="C55" s="437">
        <v>39035</v>
      </c>
    </row>
    <row r="56" spans="1:3" ht="14.25" customHeight="1">
      <c r="A56" s="441"/>
      <c r="B56" s="111" t="s">
        <v>378</v>
      </c>
      <c r="C56" s="441" t="s">
        <v>379</v>
      </c>
    </row>
    <row r="57" spans="1:3" ht="14.25" customHeight="1">
      <c r="A57" s="437">
        <v>39052</v>
      </c>
      <c r="B57" s="111" t="s">
        <v>380</v>
      </c>
      <c r="C57" s="437">
        <v>39052</v>
      </c>
    </row>
    <row r="58" spans="1:3" ht="14.25" customHeight="1">
      <c r="A58" s="437">
        <v>39054</v>
      </c>
      <c r="B58" s="111" t="s">
        <v>381</v>
      </c>
      <c r="C58" s="437">
        <v>39054</v>
      </c>
    </row>
    <row r="59" spans="1:3" ht="14.25" customHeight="1">
      <c r="A59" s="437">
        <v>39055</v>
      </c>
      <c r="B59" s="111" t="s">
        <v>382</v>
      </c>
      <c r="C59" s="437">
        <v>39055</v>
      </c>
    </row>
    <row r="60" spans="1:3" ht="14.25" customHeight="1">
      <c r="A60" s="437">
        <v>39056</v>
      </c>
      <c r="B60" s="111" t="s">
        <v>383</v>
      </c>
      <c r="C60" s="437">
        <v>39056</v>
      </c>
    </row>
    <row r="61" spans="1:3" ht="14.25" customHeight="1">
      <c r="A61" s="437">
        <v>39058</v>
      </c>
      <c r="B61" s="111" t="s">
        <v>384</v>
      </c>
      <c r="C61" s="437">
        <v>39058</v>
      </c>
    </row>
    <row r="62" spans="1:3" ht="14.25" customHeight="1">
      <c r="A62" s="437">
        <v>39061</v>
      </c>
      <c r="B62" s="111" t="s">
        <v>385</v>
      </c>
      <c r="C62" s="437">
        <v>39061</v>
      </c>
    </row>
    <row r="63" spans="1:3" ht="14.25" customHeight="1">
      <c r="A63" s="437">
        <v>39076</v>
      </c>
      <c r="B63" s="111" t="s">
        <v>386</v>
      </c>
      <c r="C63" s="437">
        <v>39076</v>
      </c>
    </row>
    <row r="64" spans="1:3" ht="14.25" customHeight="1">
      <c r="A64" s="441"/>
      <c r="B64" s="111" t="s">
        <v>387</v>
      </c>
      <c r="C64" s="441" t="s">
        <v>388</v>
      </c>
    </row>
    <row r="65" spans="1:3" ht="14.25" customHeight="1">
      <c r="A65" s="441"/>
      <c r="B65" s="111" t="s">
        <v>389</v>
      </c>
      <c r="C65" s="441" t="s">
        <v>390</v>
      </c>
    </row>
    <row r="66" spans="1:3" ht="14.25" customHeight="1">
      <c r="A66" s="441"/>
      <c r="B66" s="111" t="s">
        <v>391</v>
      </c>
      <c r="C66" s="441" t="s">
        <v>392</v>
      </c>
    </row>
    <row r="67" spans="1:3" ht="14.25" customHeight="1">
      <c r="A67" s="441"/>
      <c r="B67" s="111" t="s">
        <v>393</v>
      </c>
      <c r="C67" s="441" t="s">
        <v>394</v>
      </c>
    </row>
    <row r="68" spans="1:3" ht="14.25" customHeight="1">
      <c r="A68" s="441"/>
      <c r="B68" s="111" t="s">
        <v>395</v>
      </c>
      <c r="C68" s="441" t="s">
        <v>396</v>
      </c>
    </row>
    <row r="69" spans="1:3" ht="14.25" customHeight="1">
      <c r="A69" s="441"/>
      <c r="B69" s="111" t="s">
        <v>397</v>
      </c>
      <c r="C69" s="441" t="s">
        <v>398</v>
      </c>
    </row>
    <row r="70" spans="1:3" ht="14.25" customHeight="1">
      <c r="A70" s="441"/>
      <c r="B70" s="111" t="s">
        <v>399</v>
      </c>
      <c r="C70" s="441" t="s">
        <v>400</v>
      </c>
    </row>
    <row r="71" spans="1:3" ht="14.25" customHeight="1">
      <c r="A71" s="441"/>
      <c r="B71" s="111" t="s">
        <v>401</v>
      </c>
      <c r="C71" s="441" t="s">
        <v>402</v>
      </c>
    </row>
    <row r="72" spans="1:3" ht="14.25" customHeight="1">
      <c r="A72" s="441"/>
      <c r="B72" s="111" t="s">
        <v>403</v>
      </c>
      <c r="C72" s="441" t="s">
        <v>404</v>
      </c>
    </row>
    <row r="73" spans="1:3" ht="14.25" customHeight="1">
      <c r="A73" s="441"/>
      <c r="B73" s="111" t="s">
        <v>405</v>
      </c>
      <c r="C73" s="441" t="s">
        <v>406</v>
      </c>
    </row>
    <row r="74" spans="1:3" ht="14.25" customHeight="1"/>
    <row r="75" spans="1:3" ht="14.25" customHeight="1"/>
    <row r="76" spans="1:3" ht="14.25" customHeight="1"/>
    <row r="77" spans="1:3" ht="14.25" customHeight="1"/>
    <row r="78" spans="1:3" ht="14.25" customHeight="1"/>
    <row r="79" spans="1:3" ht="14.25" customHeight="1"/>
    <row r="80" spans="1:3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</sheetData>
  <sheetProtection sheet="1" objects="1" scenarios="1"/>
  <phoneticPr fontId="3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showZeros="0" workbookViewId="0">
      <selection activeCell="T23" sqref="T23"/>
    </sheetView>
  </sheetViews>
  <sheetFormatPr defaultRowHeight="15"/>
  <cols>
    <col min="1" max="1" width="4.75" bestFit="1" customWidth="1"/>
    <col min="2" max="2" width="8" bestFit="1" customWidth="1"/>
    <col min="3" max="3" width="9.08203125" customWidth="1"/>
    <col min="4" max="4" width="10.58203125" bestFit="1" customWidth="1"/>
    <col min="5" max="7" width="8" hidden="1" customWidth="1"/>
    <col min="8" max="8" width="6.25" hidden="1" customWidth="1"/>
    <col min="9" max="10" width="8" hidden="1" customWidth="1"/>
    <col min="11" max="11" width="11.08203125" hidden="1" customWidth="1"/>
    <col min="12" max="12" width="13.08203125" bestFit="1" customWidth="1"/>
    <col min="13" max="13" width="6.25" hidden="1" customWidth="1"/>
    <col min="14" max="14" width="9.5" hidden="1" customWidth="1"/>
    <col min="15" max="15" width="8" bestFit="1" customWidth="1"/>
    <col min="16" max="16" width="8" hidden="1" customWidth="1"/>
    <col min="17" max="17" width="9.08203125" bestFit="1" customWidth="1"/>
    <col min="18" max="18" width="13.58203125" bestFit="1" customWidth="1"/>
    <col min="19" max="21" width="12.75" bestFit="1" customWidth="1"/>
    <col min="22" max="22" width="9.75" bestFit="1" customWidth="1"/>
    <col min="23" max="23" width="16.08203125" bestFit="1" customWidth="1"/>
    <col min="24" max="25" width="4.5" hidden="1" customWidth="1"/>
  </cols>
  <sheetData>
    <row r="1" spans="1:26" ht="20.149999999999999" customHeight="1">
      <c r="A1" s="442" t="str">
        <f ca="1">IF(MOD(ROW(),2)&gt;0,工资计算!B$2,OFFSET(工资计算!B$2,ROW()/2,0))</f>
        <v>工号</v>
      </c>
      <c r="B1" s="442" t="str">
        <f ca="1">IF(MOD(ROW(),2)&gt;0,工资计算!I$2,OFFSET(工资计算!I$2,ROW()/2,0))</f>
        <v>姓   名</v>
      </c>
      <c r="C1" s="442" t="str">
        <f ca="1">IF(MOD(ROW(),2)&gt;0,工资计算!K$2,OFFSET(工资计算!K$2,ROW()/2,0))</f>
        <v>基 本 工 资</v>
      </c>
      <c r="D1" s="442" t="str">
        <f ca="1">IF(MOD(ROW(),2)&gt;0,工资计算!L$2,OFFSET(工资计算!L$2,ROW()/2,0))</f>
        <v>岗 位     工 资</v>
      </c>
      <c r="E1" s="442" t="str">
        <f ca="1">IF(MOD(ROW(),2)&gt;0,工资计算!M$2,OFFSET(工资计算!M$2,ROW()/2,0))</f>
        <v>交通补贴</v>
      </c>
      <c r="F1" s="442" t="str">
        <f ca="1">IF(MOD(ROW(),2)&gt;0,工资计算!N$2,OFFSET(工资计算!N$2,ROW()/2,0))</f>
        <v>公务补贴</v>
      </c>
      <c r="G1" s="442" t="str">
        <f ca="1">IF(MOD(ROW(),2)&gt;0,工资计算!O$2,OFFSET(工资计算!O$2,ROW()/2,0))</f>
        <v>电话补贴</v>
      </c>
      <c r="H1" s="442" t="str">
        <f ca="1">IF(MOD(ROW(),2)&gt;0,工资计算!P$2,OFFSET(工资计算!P$2,ROW()/2,0))</f>
        <v>车补</v>
      </c>
      <c r="I1" s="442" t="str">
        <f ca="1">IF(MOD(ROW(),2)&gt;0,工资计算!Q$2,OFFSET(工资计算!Q$2,ROW()/2,0))</f>
        <v>午餐补贴</v>
      </c>
      <c r="J1" s="442" t="str">
        <f ca="1">IF(MOD(ROW(),2)&gt;0,工资计算!R$2,OFFSET(工资计算!R$2,ROW()/2,0))</f>
        <v>司龄补</v>
      </c>
      <c r="K1" s="442" t="str">
        <f ca="1">IF(MOD(ROW(),2)&gt;0,工资计算!S$2,OFFSET(工资计算!S$2,ROW()/2,0))</f>
        <v>加 班      天 数</v>
      </c>
      <c r="L1" s="442" t="str">
        <f ca="1">IF(MOD(ROW(),2)&gt;0,工资计算!T$2,OFFSET(工资计算!T$2,ROW()/2,0))</f>
        <v>加  班         工  资</v>
      </c>
      <c r="M1" s="442" t="str">
        <f ca="1">IF(MOD(ROW(),2)&gt;0,工资计算!U$2,OFFSET(工资计算!U$2,ROW()/2,0))</f>
        <v>奖    金</v>
      </c>
      <c r="N1" s="442" t="str">
        <f ca="1">IF(MOD(ROW(),2)&gt;0,工资计算!V$2,OFFSET(工资计算!V$2,ROW()/2,0))</f>
        <v>缺 勤  天 数</v>
      </c>
      <c r="O1" s="442" t="str">
        <f ca="1">IF(MOD(ROW(),2)&gt;0,工资计算!W$2,OFFSET(工资计算!W$2,ROW()/2,0))</f>
        <v>考勤应扣</v>
      </c>
      <c r="P1" s="442" t="e">
        <f ca="1">IF(MOD(ROW(),2)&gt;0,工资计算!#REF!,OFFSET(工资计算!#REF!,ROW()/2,0))</f>
        <v>#REF!</v>
      </c>
      <c r="Q1" s="442" t="str">
        <f ca="1">IF(MOD(ROW(),2)&gt;0,工资计算!Y$2,OFFSET(工资计算!Y$2,ROW()/2,0))</f>
        <v>缴金基数</v>
      </c>
      <c r="R1" s="442" t="str">
        <f ca="1">IF(MOD(ROW(),2)&gt;0,工资计算!Z$2,OFFSET(工资计算!Z$2,ROW()/2,0))</f>
        <v>养    老      保    险</v>
      </c>
      <c r="S1" s="442" t="str">
        <f ca="1">IF(MOD(ROW(),2)&gt;0,工资计算!AA$2,OFFSET(工资计算!AA$2,ROW()/2,0))</f>
        <v>失   业      保   险</v>
      </c>
      <c r="T1" s="442" t="str">
        <f ca="1">IF(MOD(ROW(),2)&gt;0,工资计算!AB$2,OFFSET(工资计算!AB$2,ROW()/2,0))</f>
        <v>医   疗      保   险</v>
      </c>
      <c r="U1" s="442" t="str">
        <f ca="1">IF(MOD(ROW(),2)&gt;0,工资计算!AC$2,OFFSET(工资计算!AC$2,ROW()/2,0))</f>
        <v>住    房    公积金</v>
      </c>
      <c r="V1" s="442" t="str">
        <f ca="1">IF(MOD(ROW(),2)&gt;0,工资计算!AI$2,OFFSET(工资计算!AI$2,ROW()/2,0))</f>
        <v>住    房    公积金   (公司)</v>
      </c>
      <c r="W1" s="442" t="str">
        <f ca="1">IF(MOD(ROW(),2)&gt;0,工资计算!AJ$2,OFFSET(工资计算!AJ$2,ROW()/2,0))</f>
        <v>代扣个人     所 得 税</v>
      </c>
      <c r="X1" s="442">
        <f ca="1">IF(MOD(ROW(),2)&gt;0,工资计算!AK$2,OFFSET(工资计算!AK$2,ROW()/2,0))</f>
        <v>0</v>
      </c>
      <c r="Y1" s="442">
        <f ca="1">IF(MOD(ROW(),2)&gt;0,工资计算!AL$2,OFFSET(工资计算!AL$2,ROW()/2,0))</f>
        <v>0</v>
      </c>
      <c r="Z1" s="442" t="str">
        <f ca="1">IF(MOD(ROW(),2)&gt;0,工资计算!AM$2,OFFSET(工资计算!AM$2,ROW()/2,0))</f>
        <v>实 发 工 资</v>
      </c>
    </row>
    <row r="2" spans="1:26" ht="20.25" customHeight="1">
      <c r="A2" s="442" t="str">
        <f ca="1">IF(MOD(ROW(),2)&gt;0,工资计算!B$2,OFFSET(工资计算!B$2,ROW()/2,0))</f>
        <v>001</v>
      </c>
      <c r="B2" s="442" t="str">
        <f ca="1">IF(MOD(ROW(),2)&gt;0,工资计算!I$2,OFFSET(工资计算!I$2,ROW()/2,0))</f>
        <v>ABC</v>
      </c>
      <c r="C2" s="442">
        <f ca="1">IF(MOD(ROW(),2)&gt;0,工资计算!K$2,OFFSET(工资计算!K$2,ROW()/2,0))</f>
        <v>300</v>
      </c>
      <c r="D2" s="442">
        <f ca="1">IF(MOD(ROW(),2)&gt;0,工资计算!L$2,OFFSET(工资计算!L$2,ROW()/2,0))</f>
        <v>0</v>
      </c>
      <c r="E2" s="442">
        <f ca="1">IF(MOD(ROW(),2)&gt;0,工资计算!M$2,OFFSET(工资计算!M$2,ROW()/2,0))</f>
        <v>0</v>
      </c>
      <c r="F2" s="442">
        <f ca="1">IF(MOD(ROW(),2)&gt;0,工资计算!N$2,OFFSET(工资计算!N$2,ROW()/2,0))</f>
        <v>0</v>
      </c>
      <c r="G2" s="442">
        <f ca="1">IF(MOD(ROW(),2)&gt;0,工资计算!O$2,OFFSET(工资计算!O$2,ROW()/2,0))</f>
        <v>0</v>
      </c>
      <c r="H2" s="442">
        <f ca="1">IF(MOD(ROW(),2)&gt;0,工资计算!P$2,OFFSET(工资计算!P$2,ROW()/2,0))</f>
        <v>0</v>
      </c>
      <c r="I2" s="442">
        <f ca="1">IF(MOD(ROW(),2)&gt;0,工资计算!Q$2,OFFSET(工资计算!Q$2,ROW()/2,0))</f>
        <v>0</v>
      </c>
      <c r="J2" s="442">
        <f ca="1">IF(MOD(ROW(),2)&gt;0,工资计算!R$2,OFFSET(工资计算!R$2,ROW()/2,0))</f>
        <v>0</v>
      </c>
      <c r="K2" s="442">
        <f ca="1">IF(MOD(ROW(),2)&gt;0,工资计算!S$2,OFFSET(工资计算!S$2,ROW()/2,0))</f>
        <v>0</v>
      </c>
      <c r="L2" s="442">
        <f ca="1">IF(MOD(ROW(),2)&gt;0,工资计算!T$2,OFFSET(工资计算!T$2,ROW()/2,0))</f>
        <v>0</v>
      </c>
      <c r="M2" s="442">
        <f ca="1">IF(MOD(ROW(),2)&gt;0,工资计算!U$2,OFFSET(工资计算!U$2,ROW()/2,0))</f>
        <v>0</v>
      </c>
      <c r="N2" s="442">
        <f ca="1">IF(MOD(ROW(),2)&gt;0,工资计算!V$2,OFFSET(工资计算!V$2,ROW()/2,0))</f>
        <v>0</v>
      </c>
      <c r="O2" s="442">
        <f ca="1">IF(MOD(ROW(),2)&gt;0,工资计算!W$2,OFFSET(工资计算!W$2,ROW()/2,0))</f>
        <v>0</v>
      </c>
      <c r="P2" s="442" t="e">
        <f ca="1">IF(MOD(ROW(),2)&gt;0,工资计算!#REF!,OFFSET(工资计算!#REF!,ROW()/2,0))</f>
        <v>#REF!</v>
      </c>
      <c r="Q2" s="442">
        <f ca="1">IF(MOD(ROW(),2)&gt;0,工资计算!Y$2,OFFSET(工资计算!Y$2,ROW()/2,0))</f>
        <v>4292</v>
      </c>
      <c r="R2" s="442">
        <f ca="1">IF(MOD(ROW(),2)&gt;0,工资计算!Z$2,OFFSET(工资计算!Z$2,ROW()/2,0))</f>
        <v>343.4</v>
      </c>
      <c r="S2" s="442">
        <f ca="1">IF(MOD(ROW(),2)&gt;0,工资计算!AA$2,OFFSET(工资计算!AA$2,ROW()/2,0))</f>
        <v>21.5</v>
      </c>
      <c r="T2" s="442">
        <f ca="1">IF(MOD(ROW(),2)&gt;0,工资计算!AB$2,OFFSET(工资计算!AB$2,ROW()/2,0))</f>
        <v>85.9</v>
      </c>
      <c r="U2" s="442">
        <f ca="1">IF(MOD(ROW(),2)&gt;0,工资计算!AC$2,OFFSET(工资计算!AC$2,ROW()/2,0))</f>
        <v>210</v>
      </c>
      <c r="V2" s="442">
        <f ca="1">IF(MOD(ROW(),2)&gt;0,工资计算!AI$2,OFFSET(工资计算!AI$2,ROW()/2,0))</f>
        <v>210</v>
      </c>
      <c r="W2" s="442">
        <f ca="1">IF(MOD(ROW(),2)&gt;0,工资计算!AJ$2,OFFSET(工资计算!AJ$2,ROW()/2,0))</f>
        <v>0</v>
      </c>
      <c r="X2" s="442">
        <f ca="1">IF(MOD(ROW(),2)&gt;0,工资计算!AK$2,OFFSET(工资计算!AK$2,ROW()/2,0))</f>
        <v>0</v>
      </c>
      <c r="Y2" s="442">
        <f ca="1">IF(MOD(ROW(),2)&gt;0,工资计算!AL$2,OFFSET(工资计算!AL$2,ROW()/2,0))</f>
        <v>0</v>
      </c>
      <c r="Z2" s="442">
        <f ca="1">IF(MOD(ROW(),2)&gt;0,工资计算!AM$2,OFFSET(工资计算!AM$2,ROW()/2,0))</f>
        <v>2900</v>
      </c>
    </row>
    <row r="3" spans="1:26" ht="20.149999999999999" customHeight="1">
      <c r="A3" s="442" t="str">
        <f ca="1">IF(MOD(ROW(),2)&gt;0,工资计算!B$2,OFFSET(工资计算!B$2,ROW()/2,0))</f>
        <v>工号</v>
      </c>
      <c r="B3" s="442" t="str">
        <f ca="1">IF(MOD(ROW(),2)&gt;0,工资计算!I$2,OFFSET(工资计算!I$2,ROW()/2,0))</f>
        <v>姓   名</v>
      </c>
      <c r="C3" s="442" t="str">
        <f ca="1">IF(MOD(ROW(),2)&gt;0,工资计算!K$2,OFFSET(工资计算!K$2,ROW()/2,0))</f>
        <v>基 本 工 资</v>
      </c>
      <c r="D3" s="442" t="str">
        <f ca="1">IF(MOD(ROW(),2)&gt;0,工资计算!L$2,OFFSET(工资计算!L$2,ROW()/2,0))</f>
        <v>岗 位     工 资</v>
      </c>
      <c r="E3" s="442" t="str">
        <f ca="1">IF(MOD(ROW(),2)&gt;0,工资计算!M$2,OFFSET(工资计算!M$2,ROW()/2,0))</f>
        <v>交通补贴</v>
      </c>
      <c r="F3" s="442" t="str">
        <f ca="1">IF(MOD(ROW(),2)&gt;0,工资计算!N$2,OFFSET(工资计算!N$2,ROW()/2,0))</f>
        <v>公务补贴</v>
      </c>
      <c r="G3" s="442" t="str">
        <f ca="1">IF(MOD(ROW(),2)&gt;0,工资计算!O$2,OFFSET(工资计算!O$2,ROW()/2,0))</f>
        <v>电话补贴</v>
      </c>
      <c r="H3" s="442" t="str">
        <f ca="1">IF(MOD(ROW(),2)&gt;0,工资计算!P$2,OFFSET(工资计算!P$2,ROW()/2,0))</f>
        <v>车补</v>
      </c>
      <c r="I3" s="442" t="str">
        <f ca="1">IF(MOD(ROW(),2)&gt;0,工资计算!Q$2,OFFSET(工资计算!Q$2,ROW()/2,0))</f>
        <v>午餐补贴</v>
      </c>
      <c r="J3" s="442" t="str">
        <f ca="1">IF(MOD(ROW(),2)&gt;0,工资计算!R$2,OFFSET(工资计算!R$2,ROW()/2,0))</f>
        <v>司龄补</v>
      </c>
      <c r="K3" s="442" t="str">
        <f ca="1">IF(MOD(ROW(),2)&gt;0,工资计算!S$2,OFFSET(工资计算!S$2,ROW()/2,0))</f>
        <v>加 班      天 数</v>
      </c>
      <c r="L3" s="442" t="str">
        <f ca="1">IF(MOD(ROW(),2)&gt;0,工资计算!T$2,OFFSET(工资计算!T$2,ROW()/2,0))</f>
        <v>加  班         工  资</v>
      </c>
      <c r="M3" s="442" t="str">
        <f ca="1">IF(MOD(ROW(),2)&gt;0,工资计算!U$2,OFFSET(工资计算!U$2,ROW()/2,0))</f>
        <v>奖    金</v>
      </c>
      <c r="N3" s="442" t="str">
        <f ca="1">IF(MOD(ROW(),2)&gt;0,工资计算!V$2,OFFSET(工资计算!V$2,ROW()/2,0))</f>
        <v>缺 勤  天 数</v>
      </c>
      <c r="O3" s="442" t="str">
        <f ca="1">IF(MOD(ROW(),2)&gt;0,工资计算!W$2,OFFSET(工资计算!W$2,ROW()/2,0))</f>
        <v>考勤应扣</v>
      </c>
      <c r="P3" s="442" t="e">
        <f ca="1">IF(MOD(ROW(),2)&gt;0,工资计算!#REF!,OFFSET(工资计算!#REF!,ROW()/2,0))</f>
        <v>#REF!</v>
      </c>
      <c r="Q3" s="442" t="str">
        <f ca="1">IF(MOD(ROW(),2)&gt;0,工资计算!Y$2,OFFSET(工资计算!Y$2,ROW()/2,0))</f>
        <v>缴金基数</v>
      </c>
      <c r="R3" s="442" t="str">
        <f ca="1">IF(MOD(ROW(),2)&gt;0,工资计算!Z$2,OFFSET(工资计算!Z$2,ROW()/2,0))</f>
        <v>养    老      保    险</v>
      </c>
      <c r="S3" s="442" t="str">
        <f ca="1">IF(MOD(ROW(),2)&gt;0,工资计算!AA$2,OFFSET(工资计算!AA$2,ROW()/2,0))</f>
        <v>失   业      保   险</v>
      </c>
      <c r="T3" s="442" t="str">
        <f ca="1">IF(MOD(ROW(),2)&gt;0,工资计算!AB$2,OFFSET(工资计算!AB$2,ROW()/2,0))</f>
        <v>医   疗      保   险</v>
      </c>
      <c r="U3" s="442" t="str">
        <f ca="1">IF(MOD(ROW(),2)&gt;0,工资计算!AC$2,OFFSET(工资计算!AC$2,ROW()/2,0))</f>
        <v>住    房    公积金</v>
      </c>
      <c r="V3" s="442" t="str">
        <f ca="1">IF(MOD(ROW(),2)&gt;0,工资计算!AI$2,OFFSET(工资计算!AI$2,ROW()/2,0))</f>
        <v>住    房    公积金   (公司)</v>
      </c>
      <c r="W3" s="442" t="str">
        <f ca="1">IF(MOD(ROW(),2)&gt;0,工资计算!AJ$2,OFFSET(工资计算!AJ$2,ROW()/2,0))</f>
        <v>代扣个人     所 得 税</v>
      </c>
      <c r="X3" s="442">
        <f ca="1">IF(MOD(ROW(),2)&gt;0,工资计算!AK$2,OFFSET(工资计算!AK$2,ROW()/2,0))</f>
        <v>0</v>
      </c>
      <c r="Y3" s="442">
        <f ca="1">IF(MOD(ROW(),2)&gt;0,工资计算!AL$2,OFFSET(工资计算!AL$2,ROW()/2,0))</f>
        <v>0</v>
      </c>
      <c r="Z3" s="442" t="str">
        <f ca="1">IF(MOD(ROW(),2)&gt;0,工资计算!AM$2,OFFSET(工资计算!AM$2,ROW()/2,0))</f>
        <v>实 发 工 资</v>
      </c>
    </row>
    <row r="4" spans="1:26" ht="20.149999999999999" customHeight="1">
      <c r="A4" s="442" t="str">
        <f ca="1">IF(MOD(ROW(),2)&gt;0,工资计算!B$2,OFFSET(工资计算!B$2,ROW()/2,0))</f>
        <v>002</v>
      </c>
      <c r="B4" s="442" t="str">
        <f ca="1">IF(MOD(ROW(),2)&gt;0,工资计算!I$2,OFFSET(工资计算!I$2,ROW()/2,0))</f>
        <v>CBD</v>
      </c>
      <c r="C4" s="442">
        <f ca="1">IF(MOD(ROW(),2)&gt;0,工资计算!K$2,OFFSET(工资计算!K$2,ROW()/2,0))</f>
        <v>1000</v>
      </c>
      <c r="D4" s="442">
        <f ca="1">IF(MOD(ROW(),2)&gt;0,工资计算!L$2,OFFSET(工资计算!L$2,ROW()/2,0))</f>
        <v>0</v>
      </c>
      <c r="E4" s="442">
        <f ca="1">IF(MOD(ROW(),2)&gt;0,工资计算!M$2,OFFSET(工资计算!M$2,ROW()/2,0))</f>
        <v>0</v>
      </c>
      <c r="F4" s="442">
        <f ca="1">IF(MOD(ROW(),2)&gt;0,工资计算!N$2,OFFSET(工资计算!N$2,ROW()/2,0))</f>
        <v>0</v>
      </c>
      <c r="G4" s="442">
        <f ca="1">IF(MOD(ROW(),2)&gt;0,工资计算!O$2,OFFSET(工资计算!O$2,ROW()/2,0))</f>
        <v>0</v>
      </c>
      <c r="H4" s="442">
        <f ca="1">IF(MOD(ROW(),2)&gt;0,工资计算!P$2,OFFSET(工资计算!P$2,ROW()/2,0))</f>
        <v>0</v>
      </c>
      <c r="I4" s="442">
        <f ca="1">IF(MOD(ROW(),2)&gt;0,工资计算!Q$2,OFFSET(工资计算!Q$2,ROW()/2,0))</f>
        <v>0</v>
      </c>
      <c r="J4" s="442">
        <f ca="1">IF(MOD(ROW(),2)&gt;0,工资计算!R$2,OFFSET(工资计算!R$2,ROW()/2,0))</f>
        <v>0</v>
      </c>
      <c r="K4" s="442">
        <f ca="1">IF(MOD(ROW(),2)&gt;0,工资计算!S$2,OFFSET(工资计算!S$2,ROW()/2,0))</f>
        <v>0</v>
      </c>
      <c r="L4" s="442">
        <f ca="1">IF(MOD(ROW(),2)&gt;0,工资计算!T$2,OFFSET(工资计算!T$2,ROW()/2,0))</f>
        <v>0</v>
      </c>
      <c r="M4" s="442">
        <f ca="1">IF(MOD(ROW(),2)&gt;0,工资计算!U$2,OFFSET(工资计算!U$2,ROW()/2,0))</f>
        <v>0</v>
      </c>
      <c r="N4" s="442">
        <f ca="1">IF(MOD(ROW(),2)&gt;0,工资计算!V$2,OFFSET(工资计算!V$2,ROW()/2,0))</f>
        <v>0</v>
      </c>
      <c r="O4" s="442">
        <f ca="1">IF(MOD(ROW(),2)&gt;0,工资计算!W$2,OFFSET(工资计算!W$2,ROW()/2,0))</f>
        <v>0</v>
      </c>
      <c r="P4" s="442" t="e">
        <f ca="1">IF(MOD(ROW(),2)&gt;0,工资计算!#REF!,OFFSET(工资计算!#REF!,ROW()/2,0))</f>
        <v>#REF!</v>
      </c>
      <c r="Q4" s="442">
        <f ca="1">IF(MOD(ROW(),2)&gt;0,工资计算!Y$2,OFFSET(工资计算!Y$2,ROW()/2,0))</f>
        <v>4292</v>
      </c>
      <c r="R4" s="442">
        <f ca="1">IF(MOD(ROW(),2)&gt;0,工资计算!Z$2,OFFSET(工资计算!Z$2,ROW()/2,0))</f>
        <v>343.4</v>
      </c>
      <c r="S4" s="442">
        <f ca="1">IF(MOD(ROW(),2)&gt;0,工资计算!AA$2,OFFSET(工资计算!AA$2,ROW()/2,0))</f>
        <v>21.5</v>
      </c>
      <c r="T4" s="442">
        <f ca="1">IF(MOD(ROW(),2)&gt;0,工资计算!AB$2,OFFSET(工资计算!AB$2,ROW()/2,0))</f>
        <v>85.9</v>
      </c>
      <c r="U4" s="442">
        <f ca="1">IF(MOD(ROW(),2)&gt;0,工资计算!AC$2,OFFSET(工资计算!AC$2,ROW()/2,0))</f>
        <v>210</v>
      </c>
      <c r="V4" s="442">
        <f ca="1">IF(MOD(ROW(),2)&gt;0,工资计算!AI$2,OFFSET(工资计算!AI$2,ROW()/2,0))</f>
        <v>210</v>
      </c>
      <c r="W4" s="442">
        <f ca="1">IF(MOD(ROW(),2)&gt;0,工资计算!AJ$2,OFFSET(工资计算!AJ$2,ROW()/2,0))</f>
        <v>0</v>
      </c>
      <c r="X4" s="442">
        <f ca="1">IF(MOD(ROW(),2)&gt;0,工资计算!AK$2,OFFSET(工资计算!AK$2,ROW()/2,0))</f>
        <v>0</v>
      </c>
      <c r="Y4" s="442">
        <f ca="1">IF(MOD(ROW(),2)&gt;0,工资计算!AL$2,OFFSET(工资计算!AL$2,ROW()/2,0))</f>
        <v>0</v>
      </c>
      <c r="Z4" s="442">
        <f ca="1">IF(MOD(ROW(),2)&gt;0,工资计算!AM$2,OFFSET(工资计算!AM$2,ROW()/2,0))</f>
        <v>2380</v>
      </c>
    </row>
    <row r="5" spans="1:26" ht="20.149999999999999" customHeight="1">
      <c r="A5" s="442" t="str">
        <f ca="1">IF(MOD(ROW(),2)&gt;0,工资计算!B$2,OFFSET(工资计算!B$2,ROW()/2,0))</f>
        <v>工号</v>
      </c>
      <c r="B5" s="442" t="str">
        <f ca="1">IF(MOD(ROW(),2)&gt;0,工资计算!I$2,OFFSET(工资计算!I$2,ROW()/2,0))</f>
        <v>姓   名</v>
      </c>
      <c r="C5" s="442" t="str">
        <f ca="1">IF(MOD(ROW(),2)&gt;0,工资计算!K$2,OFFSET(工资计算!K$2,ROW()/2,0))</f>
        <v>基 本 工 资</v>
      </c>
      <c r="D5" s="442" t="str">
        <f ca="1">IF(MOD(ROW(),2)&gt;0,工资计算!L$2,OFFSET(工资计算!L$2,ROW()/2,0))</f>
        <v>岗 位     工 资</v>
      </c>
      <c r="E5" s="442" t="str">
        <f ca="1">IF(MOD(ROW(),2)&gt;0,工资计算!M$2,OFFSET(工资计算!M$2,ROW()/2,0))</f>
        <v>交通补贴</v>
      </c>
      <c r="F5" s="442" t="str">
        <f ca="1">IF(MOD(ROW(),2)&gt;0,工资计算!N$2,OFFSET(工资计算!N$2,ROW()/2,0))</f>
        <v>公务补贴</v>
      </c>
      <c r="G5" s="442" t="str">
        <f ca="1">IF(MOD(ROW(),2)&gt;0,工资计算!O$2,OFFSET(工资计算!O$2,ROW()/2,0))</f>
        <v>电话补贴</v>
      </c>
      <c r="H5" s="442" t="str">
        <f ca="1">IF(MOD(ROW(),2)&gt;0,工资计算!P$2,OFFSET(工资计算!P$2,ROW()/2,0))</f>
        <v>车补</v>
      </c>
      <c r="I5" s="442" t="str">
        <f ca="1">IF(MOD(ROW(),2)&gt;0,工资计算!Q$2,OFFSET(工资计算!Q$2,ROW()/2,0))</f>
        <v>午餐补贴</v>
      </c>
      <c r="J5" s="442" t="str">
        <f ca="1">IF(MOD(ROW(),2)&gt;0,工资计算!R$2,OFFSET(工资计算!R$2,ROW()/2,0))</f>
        <v>司龄补</v>
      </c>
      <c r="K5" s="442" t="str">
        <f ca="1">IF(MOD(ROW(),2)&gt;0,工资计算!S$2,OFFSET(工资计算!S$2,ROW()/2,0))</f>
        <v>加 班      天 数</v>
      </c>
      <c r="L5" s="442" t="str">
        <f ca="1">IF(MOD(ROW(),2)&gt;0,工资计算!T$2,OFFSET(工资计算!T$2,ROW()/2,0))</f>
        <v>加  班         工  资</v>
      </c>
      <c r="M5" s="442" t="str">
        <f ca="1">IF(MOD(ROW(),2)&gt;0,工资计算!U$2,OFFSET(工资计算!U$2,ROW()/2,0))</f>
        <v>奖    金</v>
      </c>
      <c r="N5" s="442" t="str">
        <f ca="1">IF(MOD(ROW(),2)&gt;0,工资计算!V$2,OFFSET(工资计算!V$2,ROW()/2,0))</f>
        <v>缺 勤  天 数</v>
      </c>
      <c r="O5" s="442" t="str">
        <f ca="1">IF(MOD(ROW(),2)&gt;0,工资计算!W$2,OFFSET(工资计算!W$2,ROW()/2,0))</f>
        <v>考勤应扣</v>
      </c>
      <c r="P5" s="442" t="e">
        <f ca="1">IF(MOD(ROW(),2)&gt;0,工资计算!#REF!,OFFSET(工资计算!#REF!,ROW()/2,0))</f>
        <v>#REF!</v>
      </c>
      <c r="Q5" s="442" t="str">
        <f ca="1">IF(MOD(ROW(),2)&gt;0,工资计算!Y$2,OFFSET(工资计算!Y$2,ROW()/2,0))</f>
        <v>缴金基数</v>
      </c>
      <c r="R5" s="442" t="str">
        <f ca="1">IF(MOD(ROW(),2)&gt;0,工资计算!Z$2,OFFSET(工资计算!Z$2,ROW()/2,0))</f>
        <v>养    老      保    险</v>
      </c>
      <c r="S5" s="442" t="str">
        <f ca="1">IF(MOD(ROW(),2)&gt;0,工资计算!AA$2,OFFSET(工资计算!AA$2,ROW()/2,0))</f>
        <v>失   业      保   险</v>
      </c>
      <c r="T5" s="442" t="str">
        <f ca="1">IF(MOD(ROW(),2)&gt;0,工资计算!AB$2,OFFSET(工资计算!AB$2,ROW()/2,0))</f>
        <v>医   疗      保   险</v>
      </c>
      <c r="U5" s="442" t="str">
        <f ca="1">IF(MOD(ROW(),2)&gt;0,工资计算!AC$2,OFFSET(工资计算!AC$2,ROW()/2,0))</f>
        <v>住    房    公积金</v>
      </c>
      <c r="V5" s="442" t="str">
        <f ca="1">IF(MOD(ROW(),2)&gt;0,工资计算!AI$2,OFFSET(工资计算!AI$2,ROW()/2,0))</f>
        <v>住    房    公积金   (公司)</v>
      </c>
      <c r="W5" s="442" t="str">
        <f ca="1">IF(MOD(ROW(),2)&gt;0,工资计算!AJ$2,OFFSET(工资计算!AJ$2,ROW()/2,0))</f>
        <v>代扣个人     所 得 税</v>
      </c>
      <c r="X5" s="442">
        <f ca="1">IF(MOD(ROW(),2)&gt;0,工资计算!AK$2,OFFSET(工资计算!AK$2,ROW()/2,0))</f>
        <v>0</v>
      </c>
      <c r="Y5" s="442">
        <f ca="1">IF(MOD(ROW(),2)&gt;0,工资计算!AL$2,OFFSET(工资计算!AL$2,ROW()/2,0))</f>
        <v>0</v>
      </c>
      <c r="Z5" s="442" t="str">
        <f ca="1">IF(MOD(ROW(),2)&gt;0,工资计算!AM$2,OFFSET(工资计算!AM$2,ROW()/2,0))</f>
        <v>实 发 工 资</v>
      </c>
    </row>
    <row r="6" spans="1:26" ht="20.149999999999999" customHeight="1">
      <c r="A6" s="442">
        <f ca="1">IF(MOD(ROW(),2)&gt;0,工资计算!B$2,OFFSET(工资计算!B$2,ROW()/2,0))</f>
        <v>0</v>
      </c>
      <c r="B6" s="442">
        <f ca="1">IF(MOD(ROW(),2)&gt;0,工资计算!I$2,OFFSET(工资计算!I$2,ROW()/2,0))</f>
        <v>0</v>
      </c>
      <c r="C6" s="442">
        <f ca="1">IF(MOD(ROW(),2)&gt;0,工资计算!K$2,OFFSET(工资计算!K$2,ROW()/2,0))</f>
        <v>0</v>
      </c>
      <c r="D6" s="442">
        <f ca="1">IF(MOD(ROW(),2)&gt;0,工资计算!L$2,OFFSET(工资计算!L$2,ROW()/2,0))</f>
        <v>0</v>
      </c>
      <c r="E6" s="442">
        <f ca="1">IF(MOD(ROW(),2)&gt;0,工资计算!M$2,OFFSET(工资计算!M$2,ROW()/2,0))</f>
        <v>0</v>
      </c>
      <c r="F6" s="442">
        <f ca="1">IF(MOD(ROW(),2)&gt;0,工资计算!N$2,OFFSET(工资计算!N$2,ROW()/2,0))</f>
        <v>0</v>
      </c>
      <c r="G6" s="442">
        <f ca="1">IF(MOD(ROW(),2)&gt;0,工资计算!O$2,OFFSET(工资计算!O$2,ROW()/2,0))</f>
        <v>0</v>
      </c>
      <c r="H6" s="442">
        <f ca="1">IF(MOD(ROW(),2)&gt;0,工资计算!P$2,OFFSET(工资计算!P$2,ROW()/2,0))</f>
        <v>0</v>
      </c>
      <c r="I6" s="442">
        <f ca="1">IF(MOD(ROW(),2)&gt;0,工资计算!Q$2,OFFSET(工资计算!Q$2,ROW()/2,0))</f>
        <v>0</v>
      </c>
      <c r="J6" s="442">
        <f ca="1">IF(MOD(ROW(),2)&gt;0,工资计算!R$2,OFFSET(工资计算!R$2,ROW()/2,0))</f>
        <v>0</v>
      </c>
      <c r="K6" s="442">
        <f ca="1">IF(MOD(ROW(),2)&gt;0,工资计算!S$2,OFFSET(工资计算!S$2,ROW()/2,0))</f>
        <v>0</v>
      </c>
      <c r="L6" s="442">
        <f ca="1">IF(MOD(ROW(),2)&gt;0,工资计算!T$2,OFFSET(工资计算!T$2,ROW()/2,0))</f>
        <v>0</v>
      </c>
      <c r="M6" s="442">
        <f ca="1">IF(MOD(ROW(),2)&gt;0,工资计算!U$2,OFFSET(工资计算!U$2,ROW()/2,0))</f>
        <v>0</v>
      </c>
      <c r="N6" s="442">
        <f ca="1">IF(MOD(ROW(),2)&gt;0,工资计算!V$2,OFFSET(工资计算!V$2,ROW()/2,0))</f>
        <v>0</v>
      </c>
      <c r="O6" s="442">
        <f ca="1">IF(MOD(ROW(),2)&gt;0,工资计算!W$2,OFFSET(工资计算!W$2,ROW()/2,0))</f>
        <v>0</v>
      </c>
      <c r="P6" s="442" t="e">
        <f ca="1">IF(MOD(ROW(),2)&gt;0,工资计算!#REF!,OFFSET(工资计算!#REF!,ROW()/2,0))</f>
        <v>#REF!</v>
      </c>
      <c r="Q6" s="442">
        <f ca="1">IF(MOD(ROW(),2)&gt;0,工资计算!Y$2,OFFSET(工资计算!Y$2,ROW()/2,0))</f>
        <v>0</v>
      </c>
      <c r="R6" s="442">
        <f ca="1">IF(MOD(ROW(),2)&gt;0,工资计算!Z$2,OFFSET(工资计算!Z$2,ROW()/2,0))</f>
        <v>0</v>
      </c>
      <c r="S6" s="442">
        <f ca="1">IF(MOD(ROW(),2)&gt;0,工资计算!AA$2,OFFSET(工资计算!AA$2,ROW()/2,0))</f>
        <v>0</v>
      </c>
      <c r="T6" s="442">
        <f ca="1">IF(MOD(ROW(),2)&gt;0,工资计算!AB$2,OFFSET(工资计算!AB$2,ROW()/2,0))</f>
        <v>0</v>
      </c>
      <c r="U6" s="442">
        <f ca="1">IF(MOD(ROW(),2)&gt;0,工资计算!AC$2,OFFSET(工资计算!AC$2,ROW()/2,0))</f>
        <v>0</v>
      </c>
      <c r="V6" s="442">
        <f ca="1">IF(MOD(ROW(),2)&gt;0,工资计算!AI$2,OFFSET(工资计算!AI$2,ROW()/2,0))</f>
        <v>0</v>
      </c>
      <c r="W6" s="442">
        <f ca="1">IF(MOD(ROW(),2)&gt;0,工资计算!AJ$2,OFFSET(工资计算!AJ$2,ROW()/2,0))</f>
        <v>0</v>
      </c>
      <c r="X6" s="442">
        <f ca="1">IF(MOD(ROW(),2)&gt;0,工资计算!AK$2,OFFSET(工资计算!AK$2,ROW()/2,0))</f>
        <v>0</v>
      </c>
      <c r="Y6" s="442">
        <f ca="1">IF(MOD(ROW(),2)&gt;0,工资计算!AL$2,OFFSET(工资计算!AL$2,ROW()/2,0))</f>
        <v>0</v>
      </c>
      <c r="Z6" s="442">
        <f ca="1">IF(MOD(ROW(),2)&gt;0,工资计算!AM$2,OFFSET(工资计算!AM$2,ROW()/2,0))</f>
        <v>0</v>
      </c>
    </row>
    <row r="7" spans="1:26" ht="20.149999999999999" customHeight="1">
      <c r="A7" s="442" t="str">
        <f ca="1">IF(MOD(ROW(),2)&gt;0,工资计算!B$2,OFFSET(工资计算!B$2,ROW()/2,0))</f>
        <v>工号</v>
      </c>
      <c r="B7" s="442" t="str">
        <f ca="1">IF(MOD(ROW(),2)&gt;0,工资计算!I$2,OFFSET(工资计算!I$2,ROW()/2,0))</f>
        <v>姓   名</v>
      </c>
      <c r="C7" s="442" t="str">
        <f ca="1">IF(MOD(ROW(),2)&gt;0,工资计算!K$2,OFFSET(工资计算!K$2,ROW()/2,0))</f>
        <v>基 本 工 资</v>
      </c>
      <c r="D7" s="442" t="str">
        <f ca="1">IF(MOD(ROW(),2)&gt;0,工资计算!L$2,OFFSET(工资计算!L$2,ROW()/2,0))</f>
        <v>岗 位     工 资</v>
      </c>
      <c r="E7" s="442" t="str">
        <f ca="1">IF(MOD(ROW(),2)&gt;0,工资计算!M$2,OFFSET(工资计算!M$2,ROW()/2,0))</f>
        <v>交通补贴</v>
      </c>
      <c r="F7" s="442" t="str">
        <f ca="1">IF(MOD(ROW(),2)&gt;0,工资计算!N$2,OFFSET(工资计算!N$2,ROW()/2,0))</f>
        <v>公务补贴</v>
      </c>
      <c r="G7" s="442" t="str">
        <f ca="1">IF(MOD(ROW(),2)&gt;0,工资计算!O$2,OFFSET(工资计算!O$2,ROW()/2,0))</f>
        <v>电话补贴</v>
      </c>
      <c r="H7" s="442" t="str">
        <f ca="1">IF(MOD(ROW(),2)&gt;0,工资计算!P$2,OFFSET(工资计算!P$2,ROW()/2,0))</f>
        <v>车补</v>
      </c>
      <c r="I7" s="442" t="str">
        <f ca="1">IF(MOD(ROW(),2)&gt;0,工资计算!Q$2,OFFSET(工资计算!Q$2,ROW()/2,0))</f>
        <v>午餐补贴</v>
      </c>
      <c r="J7" s="442" t="str">
        <f ca="1">IF(MOD(ROW(),2)&gt;0,工资计算!R$2,OFFSET(工资计算!R$2,ROW()/2,0))</f>
        <v>司龄补</v>
      </c>
      <c r="K7" s="442" t="str">
        <f ca="1">IF(MOD(ROW(),2)&gt;0,工资计算!S$2,OFFSET(工资计算!S$2,ROW()/2,0))</f>
        <v>加 班      天 数</v>
      </c>
      <c r="L7" s="442" t="str">
        <f ca="1">IF(MOD(ROW(),2)&gt;0,工资计算!T$2,OFFSET(工资计算!T$2,ROW()/2,0))</f>
        <v>加  班         工  资</v>
      </c>
      <c r="M7" s="442" t="str">
        <f ca="1">IF(MOD(ROW(),2)&gt;0,工资计算!U$2,OFFSET(工资计算!U$2,ROW()/2,0))</f>
        <v>奖    金</v>
      </c>
      <c r="N7" s="442" t="str">
        <f ca="1">IF(MOD(ROW(),2)&gt;0,工资计算!V$2,OFFSET(工资计算!V$2,ROW()/2,0))</f>
        <v>缺 勤  天 数</v>
      </c>
      <c r="O7" s="442" t="str">
        <f ca="1">IF(MOD(ROW(),2)&gt;0,工资计算!W$2,OFFSET(工资计算!W$2,ROW()/2,0))</f>
        <v>考勤应扣</v>
      </c>
      <c r="P7" s="442" t="e">
        <f ca="1">IF(MOD(ROW(),2)&gt;0,工资计算!#REF!,OFFSET(工资计算!#REF!,ROW()/2,0))</f>
        <v>#REF!</v>
      </c>
      <c r="Q7" s="442" t="str">
        <f ca="1">IF(MOD(ROW(),2)&gt;0,工资计算!Y$2,OFFSET(工资计算!Y$2,ROW()/2,0))</f>
        <v>缴金基数</v>
      </c>
      <c r="R7" s="442" t="str">
        <f ca="1">IF(MOD(ROW(),2)&gt;0,工资计算!Z$2,OFFSET(工资计算!Z$2,ROW()/2,0))</f>
        <v>养    老      保    险</v>
      </c>
      <c r="S7" s="442" t="str">
        <f ca="1">IF(MOD(ROW(),2)&gt;0,工资计算!AA$2,OFFSET(工资计算!AA$2,ROW()/2,0))</f>
        <v>失   业      保   险</v>
      </c>
      <c r="T7" s="442" t="str">
        <f ca="1">IF(MOD(ROW(),2)&gt;0,工资计算!AB$2,OFFSET(工资计算!AB$2,ROW()/2,0))</f>
        <v>医   疗      保   险</v>
      </c>
      <c r="U7" s="442" t="str">
        <f ca="1">IF(MOD(ROW(),2)&gt;0,工资计算!AC$2,OFFSET(工资计算!AC$2,ROW()/2,0))</f>
        <v>住    房    公积金</v>
      </c>
      <c r="V7" s="442" t="str">
        <f ca="1">IF(MOD(ROW(),2)&gt;0,工资计算!AI$2,OFFSET(工资计算!AI$2,ROW()/2,0))</f>
        <v>住    房    公积金   (公司)</v>
      </c>
      <c r="W7" s="442" t="str">
        <f ca="1">IF(MOD(ROW(),2)&gt;0,工资计算!AJ$2,OFFSET(工资计算!AJ$2,ROW()/2,0))</f>
        <v>代扣个人     所 得 税</v>
      </c>
      <c r="X7" s="442">
        <f ca="1">IF(MOD(ROW(),2)&gt;0,工资计算!AK$2,OFFSET(工资计算!AK$2,ROW()/2,0))</f>
        <v>0</v>
      </c>
      <c r="Y7" s="442">
        <f ca="1">IF(MOD(ROW(),2)&gt;0,工资计算!AL$2,OFFSET(工资计算!AL$2,ROW()/2,0))</f>
        <v>0</v>
      </c>
      <c r="Z7" s="442" t="str">
        <f ca="1">IF(MOD(ROW(),2)&gt;0,工资计算!AM$2,OFFSET(工资计算!AM$2,ROW()/2,0))</f>
        <v>实 发 工 资</v>
      </c>
    </row>
    <row r="8" spans="1:26" ht="20.149999999999999" customHeight="1">
      <c r="A8" s="442">
        <f ca="1">IF(MOD(ROW(),2)&gt;0,工资计算!B$2,OFFSET(工资计算!B$2,ROW()/2,0))</f>
        <v>0</v>
      </c>
      <c r="B8" s="442">
        <f ca="1">IF(MOD(ROW(),2)&gt;0,工资计算!I$2,OFFSET(工资计算!I$2,ROW()/2,0))</f>
        <v>0</v>
      </c>
      <c r="C8" s="442">
        <f ca="1">IF(MOD(ROW(),2)&gt;0,工资计算!K$2,OFFSET(工资计算!K$2,ROW()/2,0))</f>
        <v>0</v>
      </c>
      <c r="D8" s="442">
        <f ca="1">IF(MOD(ROW(),2)&gt;0,工资计算!L$2,OFFSET(工资计算!L$2,ROW()/2,0))</f>
        <v>0</v>
      </c>
      <c r="E8" s="442">
        <f ca="1">IF(MOD(ROW(),2)&gt;0,工资计算!M$2,OFFSET(工资计算!M$2,ROW()/2,0))</f>
        <v>0</v>
      </c>
      <c r="F8" s="442">
        <f ca="1">IF(MOD(ROW(),2)&gt;0,工资计算!N$2,OFFSET(工资计算!N$2,ROW()/2,0))</f>
        <v>0</v>
      </c>
      <c r="G8" s="442">
        <f ca="1">IF(MOD(ROW(),2)&gt;0,工资计算!O$2,OFFSET(工资计算!O$2,ROW()/2,0))</f>
        <v>0</v>
      </c>
      <c r="H8" s="442">
        <f ca="1">IF(MOD(ROW(),2)&gt;0,工资计算!P$2,OFFSET(工资计算!P$2,ROW()/2,0))</f>
        <v>0</v>
      </c>
      <c r="I8" s="442">
        <f ca="1">IF(MOD(ROW(),2)&gt;0,工资计算!Q$2,OFFSET(工资计算!Q$2,ROW()/2,0))</f>
        <v>0</v>
      </c>
      <c r="J8" s="442">
        <f ca="1">IF(MOD(ROW(),2)&gt;0,工资计算!R$2,OFFSET(工资计算!R$2,ROW()/2,0))</f>
        <v>0</v>
      </c>
      <c r="K8" s="442">
        <f ca="1">IF(MOD(ROW(),2)&gt;0,工资计算!S$2,OFFSET(工资计算!S$2,ROW()/2,0))</f>
        <v>0</v>
      </c>
      <c r="L8" s="442">
        <f ca="1">IF(MOD(ROW(),2)&gt;0,工资计算!T$2,OFFSET(工资计算!T$2,ROW()/2,0))</f>
        <v>0</v>
      </c>
      <c r="M8" s="442">
        <f ca="1">IF(MOD(ROW(),2)&gt;0,工资计算!U$2,OFFSET(工资计算!U$2,ROW()/2,0))</f>
        <v>0</v>
      </c>
      <c r="N8" s="442">
        <f ca="1">IF(MOD(ROW(),2)&gt;0,工资计算!V$2,OFFSET(工资计算!V$2,ROW()/2,0))</f>
        <v>0</v>
      </c>
      <c r="O8" s="442">
        <f ca="1">IF(MOD(ROW(),2)&gt;0,工资计算!W$2,OFFSET(工资计算!W$2,ROW()/2,0))</f>
        <v>0</v>
      </c>
      <c r="P8" s="442" t="e">
        <f ca="1">IF(MOD(ROW(),2)&gt;0,工资计算!#REF!,OFFSET(工资计算!#REF!,ROW()/2,0))</f>
        <v>#REF!</v>
      </c>
      <c r="Q8" s="442">
        <f ca="1">IF(MOD(ROW(),2)&gt;0,工资计算!Y$2,OFFSET(工资计算!Y$2,ROW()/2,0))</f>
        <v>0</v>
      </c>
      <c r="R8" s="442">
        <f ca="1">IF(MOD(ROW(),2)&gt;0,工资计算!Z$2,OFFSET(工资计算!Z$2,ROW()/2,0))</f>
        <v>0</v>
      </c>
      <c r="S8" s="442">
        <f ca="1">IF(MOD(ROW(),2)&gt;0,工资计算!AA$2,OFFSET(工资计算!AA$2,ROW()/2,0))</f>
        <v>0</v>
      </c>
      <c r="T8" s="442">
        <f ca="1">IF(MOD(ROW(),2)&gt;0,工资计算!AB$2,OFFSET(工资计算!AB$2,ROW()/2,0))</f>
        <v>0</v>
      </c>
      <c r="U8" s="442">
        <f ca="1">IF(MOD(ROW(),2)&gt;0,工资计算!AC$2,OFFSET(工资计算!AC$2,ROW()/2,0))</f>
        <v>0</v>
      </c>
      <c r="V8" s="442">
        <f ca="1">IF(MOD(ROW(),2)&gt;0,工资计算!AI$2,OFFSET(工资计算!AI$2,ROW()/2,0))</f>
        <v>0</v>
      </c>
      <c r="W8" s="442">
        <f ca="1">IF(MOD(ROW(),2)&gt;0,工资计算!AJ$2,OFFSET(工资计算!AJ$2,ROW()/2,0))</f>
        <v>0</v>
      </c>
      <c r="X8" s="442">
        <f ca="1">IF(MOD(ROW(),2)&gt;0,工资计算!AK$2,OFFSET(工资计算!AK$2,ROW()/2,0))</f>
        <v>0</v>
      </c>
      <c r="Y8" s="442">
        <f ca="1">IF(MOD(ROW(),2)&gt;0,工资计算!AL$2,OFFSET(工资计算!AL$2,ROW()/2,0))</f>
        <v>0</v>
      </c>
      <c r="Z8" s="442">
        <f ca="1">IF(MOD(ROW(),2)&gt;0,工资计算!AM$2,OFFSET(工资计算!AM$2,ROW()/2,0))</f>
        <v>0</v>
      </c>
    </row>
    <row r="9" spans="1:26" ht="20.149999999999999" customHeight="1">
      <c r="A9" s="442" t="str">
        <f ca="1">IF(MOD(ROW(),2)&gt;0,工资计算!B$2,OFFSET(工资计算!B$2,ROW()/2,0))</f>
        <v>工号</v>
      </c>
      <c r="B9" s="442" t="str">
        <f ca="1">IF(MOD(ROW(),2)&gt;0,工资计算!I$2,OFFSET(工资计算!I$2,ROW()/2,0))</f>
        <v>姓   名</v>
      </c>
      <c r="C9" s="442" t="str">
        <f ca="1">IF(MOD(ROW(),2)&gt;0,工资计算!K$2,OFFSET(工资计算!K$2,ROW()/2,0))</f>
        <v>基 本 工 资</v>
      </c>
      <c r="D9" s="442" t="str">
        <f ca="1">IF(MOD(ROW(),2)&gt;0,工资计算!L$2,OFFSET(工资计算!L$2,ROW()/2,0))</f>
        <v>岗 位     工 资</v>
      </c>
      <c r="E9" s="442" t="str">
        <f ca="1">IF(MOD(ROW(),2)&gt;0,工资计算!M$2,OFFSET(工资计算!M$2,ROW()/2,0))</f>
        <v>交通补贴</v>
      </c>
      <c r="F9" s="442" t="str">
        <f ca="1">IF(MOD(ROW(),2)&gt;0,工资计算!N$2,OFFSET(工资计算!N$2,ROW()/2,0))</f>
        <v>公务补贴</v>
      </c>
      <c r="G9" s="442" t="str">
        <f ca="1">IF(MOD(ROW(),2)&gt;0,工资计算!O$2,OFFSET(工资计算!O$2,ROW()/2,0))</f>
        <v>电话补贴</v>
      </c>
      <c r="H9" s="442" t="str">
        <f ca="1">IF(MOD(ROW(),2)&gt;0,工资计算!P$2,OFFSET(工资计算!P$2,ROW()/2,0))</f>
        <v>车补</v>
      </c>
      <c r="I9" s="442" t="str">
        <f ca="1">IF(MOD(ROW(),2)&gt;0,工资计算!Q$2,OFFSET(工资计算!Q$2,ROW()/2,0))</f>
        <v>午餐补贴</v>
      </c>
      <c r="J9" s="442" t="str">
        <f ca="1">IF(MOD(ROW(),2)&gt;0,工资计算!R$2,OFFSET(工资计算!R$2,ROW()/2,0))</f>
        <v>司龄补</v>
      </c>
      <c r="K9" s="442" t="str">
        <f ca="1">IF(MOD(ROW(),2)&gt;0,工资计算!S$2,OFFSET(工资计算!S$2,ROW()/2,0))</f>
        <v>加 班      天 数</v>
      </c>
      <c r="L9" s="442" t="str">
        <f ca="1">IF(MOD(ROW(),2)&gt;0,工资计算!T$2,OFFSET(工资计算!T$2,ROW()/2,0))</f>
        <v>加  班         工  资</v>
      </c>
      <c r="M9" s="442" t="str">
        <f ca="1">IF(MOD(ROW(),2)&gt;0,工资计算!U$2,OFFSET(工资计算!U$2,ROW()/2,0))</f>
        <v>奖    金</v>
      </c>
      <c r="N9" s="442" t="str">
        <f ca="1">IF(MOD(ROW(),2)&gt;0,工资计算!V$2,OFFSET(工资计算!V$2,ROW()/2,0))</f>
        <v>缺 勤  天 数</v>
      </c>
      <c r="O9" s="442" t="str">
        <f ca="1">IF(MOD(ROW(),2)&gt;0,工资计算!W$2,OFFSET(工资计算!W$2,ROW()/2,0))</f>
        <v>考勤应扣</v>
      </c>
      <c r="P9" s="442" t="e">
        <f ca="1">IF(MOD(ROW(),2)&gt;0,工资计算!#REF!,OFFSET(工资计算!#REF!,ROW()/2,0))</f>
        <v>#REF!</v>
      </c>
      <c r="Q9" s="442" t="str">
        <f ca="1">IF(MOD(ROW(),2)&gt;0,工资计算!Y$2,OFFSET(工资计算!Y$2,ROW()/2,0))</f>
        <v>缴金基数</v>
      </c>
      <c r="R9" s="442" t="str">
        <f ca="1">IF(MOD(ROW(),2)&gt;0,工资计算!Z$2,OFFSET(工资计算!Z$2,ROW()/2,0))</f>
        <v>养    老      保    险</v>
      </c>
      <c r="S9" s="442" t="str">
        <f ca="1">IF(MOD(ROW(),2)&gt;0,工资计算!AA$2,OFFSET(工资计算!AA$2,ROW()/2,0))</f>
        <v>失   业      保   险</v>
      </c>
      <c r="T9" s="442" t="str">
        <f ca="1">IF(MOD(ROW(),2)&gt;0,工资计算!AB$2,OFFSET(工资计算!AB$2,ROW()/2,0))</f>
        <v>医   疗      保   险</v>
      </c>
      <c r="U9" s="442" t="str">
        <f ca="1">IF(MOD(ROW(),2)&gt;0,工资计算!AC$2,OFFSET(工资计算!AC$2,ROW()/2,0))</f>
        <v>住    房    公积金</v>
      </c>
      <c r="V9" s="442" t="str">
        <f ca="1">IF(MOD(ROW(),2)&gt;0,工资计算!AI$2,OFFSET(工资计算!AI$2,ROW()/2,0))</f>
        <v>住    房    公积金   (公司)</v>
      </c>
      <c r="W9" s="442" t="str">
        <f ca="1">IF(MOD(ROW(),2)&gt;0,工资计算!AJ$2,OFFSET(工资计算!AJ$2,ROW()/2,0))</f>
        <v>代扣个人     所 得 税</v>
      </c>
      <c r="X9" s="442">
        <f ca="1">IF(MOD(ROW(),2)&gt;0,工资计算!AK$2,OFFSET(工资计算!AK$2,ROW()/2,0))</f>
        <v>0</v>
      </c>
      <c r="Y9" s="442">
        <f ca="1">IF(MOD(ROW(),2)&gt;0,工资计算!AL$2,OFFSET(工资计算!AL$2,ROW()/2,0))</f>
        <v>0</v>
      </c>
      <c r="Z9" s="442" t="str">
        <f ca="1">IF(MOD(ROW(),2)&gt;0,工资计算!AM$2,OFFSET(工资计算!AM$2,ROW()/2,0))</f>
        <v>实 发 工 资</v>
      </c>
    </row>
    <row r="10" spans="1:26" ht="20.149999999999999" customHeight="1">
      <c r="A10" s="442">
        <f ca="1">IF(MOD(ROW(),2)&gt;0,工资计算!B$2,OFFSET(工资计算!B$2,ROW()/2,0))</f>
        <v>0</v>
      </c>
      <c r="B10" s="442">
        <f ca="1">IF(MOD(ROW(),2)&gt;0,工资计算!I$2,OFFSET(工资计算!I$2,ROW()/2,0))</f>
        <v>0</v>
      </c>
      <c r="C10" s="442">
        <f ca="1">IF(MOD(ROW(),2)&gt;0,工资计算!K$2,OFFSET(工资计算!K$2,ROW()/2,0))</f>
        <v>0</v>
      </c>
      <c r="D10" s="442">
        <f ca="1">IF(MOD(ROW(),2)&gt;0,工资计算!L$2,OFFSET(工资计算!L$2,ROW()/2,0))</f>
        <v>0</v>
      </c>
      <c r="E10" s="442">
        <f ca="1">IF(MOD(ROW(),2)&gt;0,工资计算!M$2,OFFSET(工资计算!M$2,ROW()/2,0))</f>
        <v>0</v>
      </c>
      <c r="F10" s="442">
        <f ca="1">IF(MOD(ROW(),2)&gt;0,工资计算!N$2,OFFSET(工资计算!N$2,ROW()/2,0))</f>
        <v>0</v>
      </c>
      <c r="G10" s="442">
        <f ca="1">IF(MOD(ROW(),2)&gt;0,工资计算!O$2,OFFSET(工资计算!O$2,ROW()/2,0))</f>
        <v>0</v>
      </c>
      <c r="H10" s="442">
        <f ca="1">IF(MOD(ROW(),2)&gt;0,工资计算!P$2,OFFSET(工资计算!P$2,ROW()/2,0))</f>
        <v>0</v>
      </c>
      <c r="I10" s="442">
        <f ca="1">IF(MOD(ROW(),2)&gt;0,工资计算!Q$2,OFFSET(工资计算!Q$2,ROW()/2,0))</f>
        <v>0</v>
      </c>
      <c r="J10" s="442">
        <f ca="1">IF(MOD(ROW(),2)&gt;0,工资计算!R$2,OFFSET(工资计算!R$2,ROW()/2,0))</f>
        <v>0</v>
      </c>
      <c r="K10" s="442">
        <f ca="1">IF(MOD(ROW(),2)&gt;0,工资计算!S$2,OFFSET(工资计算!S$2,ROW()/2,0))</f>
        <v>0</v>
      </c>
      <c r="L10" s="442">
        <f ca="1">IF(MOD(ROW(),2)&gt;0,工资计算!T$2,OFFSET(工资计算!T$2,ROW()/2,0))</f>
        <v>0</v>
      </c>
      <c r="M10" s="442">
        <f ca="1">IF(MOD(ROW(),2)&gt;0,工资计算!U$2,OFFSET(工资计算!U$2,ROW()/2,0))</f>
        <v>0</v>
      </c>
      <c r="N10" s="442">
        <f ca="1">IF(MOD(ROW(),2)&gt;0,工资计算!V$2,OFFSET(工资计算!V$2,ROW()/2,0))</f>
        <v>0</v>
      </c>
      <c r="O10" s="442">
        <f ca="1">IF(MOD(ROW(),2)&gt;0,工资计算!W$2,OFFSET(工资计算!W$2,ROW()/2,0))</f>
        <v>0</v>
      </c>
      <c r="P10" s="442" t="e">
        <f ca="1">IF(MOD(ROW(),2)&gt;0,工资计算!#REF!,OFFSET(工资计算!#REF!,ROW()/2,0))</f>
        <v>#REF!</v>
      </c>
      <c r="Q10" s="442">
        <f ca="1">IF(MOD(ROW(),2)&gt;0,工资计算!Y$2,OFFSET(工资计算!Y$2,ROW()/2,0))</f>
        <v>0</v>
      </c>
      <c r="R10" s="442">
        <f ca="1">IF(MOD(ROW(),2)&gt;0,工资计算!Z$2,OFFSET(工资计算!Z$2,ROW()/2,0))</f>
        <v>0</v>
      </c>
      <c r="S10" s="442">
        <f ca="1">IF(MOD(ROW(),2)&gt;0,工资计算!AA$2,OFFSET(工资计算!AA$2,ROW()/2,0))</f>
        <v>0</v>
      </c>
      <c r="T10" s="442">
        <f ca="1">IF(MOD(ROW(),2)&gt;0,工资计算!AB$2,OFFSET(工资计算!AB$2,ROW()/2,0))</f>
        <v>0</v>
      </c>
      <c r="U10" s="442">
        <f ca="1">IF(MOD(ROW(),2)&gt;0,工资计算!AC$2,OFFSET(工资计算!AC$2,ROW()/2,0))</f>
        <v>0</v>
      </c>
      <c r="V10" s="442">
        <f ca="1">IF(MOD(ROW(),2)&gt;0,工资计算!AI$2,OFFSET(工资计算!AI$2,ROW()/2,0))</f>
        <v>0</v>
      </c>
      <c r="W10" s="442">
        <f ca="1">IF(MOD(ROW(),2)&gt;0,工资计算!AJ$2,OFFSET(工资计算!AJ$2,ROW()/2,0))</f>
        <v>0</v>
      </c>
      <c r="X10" s="442">
        <f ca="1">IF(MOD(ROW(),2)&gt;0,工资计算!AK$2,OFFSET(工资计算!AK$2,ROW()/2,0))</f>
        <v>0</v>
      </c>
      <c r="Y10" s="442">
        <f ca="1">IF(MOD(ROW(),2)&gt;0,工资计算!AL$2,OFFSET(工资计算!AL$2,ROW()/2,0))</f>
        <v>0</v>
      </c>
      <c r="Z10" s="442">
        <f ca="1">IF(MOD(ROW(),2)&gt;0,工资计算!AM$2,OFFSET(工资计算!AM$2,ROW()/2,0))</f>
        <v>0</v>
      </c>
    </row>
    <row r="11" spans="1:26" ht="20.149999999999999" customHeight="1">
      <c r="A11" s="442" t="str">
        <f ca="1">IF(MOD(ROW(),2)&gt;0,工资计算!B$2,OFFSET(工资计算!B$2,ROW()/2,0))</f>
        <v>工号</v>
      </c>
      <c r="B11" s="442" t="str">
        <f ca="1">IF(MOD(ROW(),2)&gt;0,工资计算!I$2,OFFSET(工资计算!I$2,ROW()/2,0))</f>
        <v>姓   名</v>
      </c>
      <c r="C11" s="442" t="str">
        <f ca="1">IF(MOD(ROW(),2)&gt;0,工资计算!K$2,OFFSET(工资计算!K$2,ROW()/2,0))</f>
        <v>基 本 工 资</v>
      </c>
      <c r="D11" s="442" t="str">
        <f ca="1">IF(MOD(ROW(),2)&gt;0,工资计算!L$2,OFFSET(工资计算!L$2,ROW()/2,0))</f>
        <v>岗 位     工 资</v>
      </c>
      <c r="E11" s="442" t="str">
        <f ca="1">IF(MOD(ROW(),2)&gt;0,工资计算!M$2,OFFSET(工资计算!M$2,ROW()/2,0))</f>
        <v>交通补贴</v>
      </c>
      <c r="F11" s="442" t="str">
        <f ca="1">IF(MOD(ROW(),2)&gt;0,工资计算!N$2,OFFSET(工资计算!N$2,ROW()/2,0))</f>
        <v>公务补贴</v>
      </c>
      <c r="G11" s="442" t="str">
        <f ca="1">IF(MOD(ROW(),2)&gt;0,工资计算!O$2,OFFSET(工资计算!O$2,ROW()/2,0))</f>
        <v>电话补贴</v>
      </c>
      <c r="H11" s="442" t="str">
        <f ca="1">IF(MOD(ROW(),2)&gt;0,工资计算!P$2,OFFSET(工资计算!P$2,ROW()/2,0))</f>
        <v>车补</v>
      </c>
      <c r="I11" s="442" t="str">
        <f ca="1">IF(MOD(ROW(),2)&gt;0,工资计算!Q$2,OFFSET(工资计算!Q$2,ROW()/2,0))</f>
        <v>午餐补贴</v>
      </c>
      <c r="J11" s="442" t="str">
        <f ca="1">IF(MOD(ROW(),2)&gt;0,工资计算!R$2,OFFSET(工资计算!R$2,ROW()/2,0))</f>
        <v>司龄补</v>
      </c>
      <c r="K11" s="442" t="str">
        <f ca="1">IF(MOD(ROW(),2)&gt;0,工资计算!S$2,OFFSET(工资计算!S$2,ROW()/2,0))</f>
        <v>加 班      天 数</v>
      </c>
      <c r="L11" s="442" t="str">
        <f ca="1">IF(MOD(ROW(),2)&gt;0,工资计算!T$2,OFFSET(工资计算!T$2,ROW()/2,0))</f>
        <v>加  班         工  资</v>
      </c>
      <c r="M11" s="442" t="str">
        <f ca="1">IF(MOD(ROW(),2)&gt;0,工资计算!U$2,OFFSET(工资计算!U$2,ROW()/2,0))</f>
        <v>奖    金</v>
      </c>
      <c r="N11" s="442" t="str">
        <f ca="1">IF(MOD(ROW(),2)&gt;0,工资计算!V$2,OFFSET(工资计算!V$2,ROW()/2,0))</f>
        <v>缺 勤  天 数</v>
      </c>
      <c r="O11" s="442" t="str">
        <f ca="1">IF(MOD(ROW(),2)&gt;0,工资计算!W$2,OFFSET(工资计算!W$2,ROW()/2,0))</f>
        <v>考勤应扣</v>
      </c>
      <c r="P11" s="442" t="e">
        <f ca="1">IF(MOD(ROW(),2)&gt;0,工资计算!#REF!,OFFSET(工资计算!#REF!,ROW()/2,0))</f>
        <v>#REF!</v>
      </c>
      <c r="Q11" s="442" t="str">
        <f ca="1">IF(MOD(ROW(),2)&gt;0,工资计算!Y$2,OFFSET(工资计算!Y$2,ROW()/2,0))</f>
        <v>缴金基数</v>
      </c>
      <c r="R11" s="442" t="str">
        <f ca="1">IF(MOD(ROW(),2)&gt;0,工资计算!Z$2,OFFSET(工资计算!Z$2,ROW()/2,0))</f>
        <v>养    老      保    险</v>
      </c>
      <c r="S11" s="442" t="str">
        <f ca="1">IF(MOD(ROW(),2)&gt;0,工资计算!AA$2,OFFSET(工资计算!AA$2,ROW()/2,0))</f>
        <v>失   业      保   险</v>
      </c>
      <c r="T11" s="442" t="str">
        <f ca="1">IF(MOD(ROW(),2)&gt;0,工资计算!AB$2,OFFSET(工资计算!AB$2,ROW()/2,0))</f>
        <v>医   疗      保   险</v>
      </c>
      <c r="U11" s="442" t="str">
        <f ca="1">IF(MOD(ROW(),2)&gt;0,工资计算!AC$2,OFFSET(工资计算!AC$2,ROW()/2,0))</f>
        <v>住    房    公积金</v>
      </c>
      <c r="V11" s="442" t="str">
        <f ca="1">IF(MOD(ROW(),2)&gt;0,工资计算!AI$2,OFFSET(工资计算!AI$2,ROW()/2,0))</f>
        <v>住    房    公积金   (公司)</v>
      </c>
      <c r="W11" s="442" t="str">
        <f ca="1">IF(MOD(ROW(),2)&gt;0,工资计算!AJ$2,OFFSET(工资计算!AJ$2,ROW()/2,0))</f>
        <v>代扣个人     所 得 税</v>
      </c>
      <c r="X11" s="442">
        <f ca="1">IF(MOD(ROW(),2)&gt;0,工资计算!AK$2,OFFSET(工资计算!AK$2,ROW()/2,0))</f>
        <v>0</v>
      </c>
      <c r="Y11" s="442">
        <f ca="1">IF(MOD(ROW(),2)&gt;0,工资计算!AL$2,OFFSET(工资计算!AL$2,ROW()/2,0))</f>
        <v>0</v>
      </c>
      <c r="Z11" s="442" t="str">
        <f ca="1">IF(MOD(ROW(),2)&gt;0,工资计算!AM$2,OFFSET(工资计算!AM$2,ROW()/2,0))</f>
        <v>实 发 工 资</v>
      </c>
    </row>
    <row r="12" spans="1:26" ht="20.149999999999999" customHeight="1">
      <c r="A12" s="442">
        <f ca="1">IF(MOD(ROW(),2)&gt;0,工资计算!B$2,OFFSET(工资计算!B$2,ROW()/2,0))</f>
        <v>0</v>
      </c>
      <c r="B12" s="442">
        <f ca="1">IF(MOD(ROW(),2)&gt;0,工资计算!I$2,OFFSET(工资计算!I$2,ROW()/2,0))</f>
        <v>0</v>
      </c>
      <c r="C12" s="442">
        <f ca="1">IF(MOD(ROW(),2)&gt;0,工资计算!K$2,OFFSET(工资计算!K$2,ROW()/2,0))</f>
        <v>0</v>
      </c>
      <c r="D12" s="442">
        <f ca="1">IF(MOD(ROW(),2)&gt;0,工资计算!L$2,OFFSET(工资计算!L$2,ROW()/2,0))</f>
        <v>0</v>
      </c>
      <c r="E12" s="442">
        <f ca="1">IF(MOD(ROW(),2)&gt;0,工资计算!M$2,OFFSET(工资计算!M$2,ROW()/2,0))</f>
        <v>0</v>
      </c>
      <c r="F12" s="442">
        <f ca="1">IF(MOD(ROW(),2)&gt;0,工资计算!N$2,OFFSET(工资计算!N$2,ROW()/2,0))</f>
        <v>0</v>
      </c>
      <c r="G12" s="442">
        <f ca="1">IF(MOD(ROW(),2)&gt;0,工资计算!O$2,OFFSET(工资计算!O$2,ROW()/2,0))</f>
        <v>0</v>
      </c>
      <c r="H12" s="442">
        <f ca="1">IF(MOD(ROW(),2)&gt;0,工资计算!P$2,OFFSET(工资计算!P$2,ROW()/2,0))</f>
        <v>0</v>
      </c>
      <c r="I12" s="442">
        <f ca="1">IF(MOD(ROW(),2)&gt;0,工资计算!Q$2,OFFSET(工资计算!Q$2,ROW()/2,0))</f>
        <v>0</v>
      </c>
      <c r="J12" s="442">
        <f ca="1">IF(MOD(ROW(),2)&gt;0,工资计算!R$2,OFFSET(工资计算!R$2,ROW()/2,0))</f>
        <v>0</v>
      </c>
      <c r="K12" s="442">
        <f ca="1">IF(MOD(ROW(),2)&gt;0,工资计算!S$2,OFFSET(工资计算!S$2,ROW()/2,0))</f>
        <v>0</v>
      </c>
      <c r="L12" s="442">
        <f ca="1">IF(MOD(ROW(),2)&gt;0,工资计算!T$2,OFFSET(工资计算!T$2,ROW()/2,0))</f>
        <v>0</v>
      </c>
      <c r="M12" s="442">
        <f ca="1">IF(MOD(ROW(),2)&gt;0,工资计算!U$2,OFFSET(工资计算!U$2,ROW()/2,0))</f>
        <v>0</v>
      </c>
      <c r="N12" s="442">
        <f ca="1">IF(MOD(ROW(),2)&gt;0,工资计算!V$2,OFFSET(工资计算!V$2,ROW()/2,0))</f>
        <v>0</v>
      </c>
      <c r="O12" s="442">
        <f ca="1">IF(MOD(ROW(),2)&gt;0,工资计算!W$2,OFFSET(工资计算!W$2,ROW()/2,0))</f>
        <v>0</v>
      </c>
      <c r="P12" s="442" t="e">
        <f ca="1">IF(MOD(ROW(),2)&gt;0,工资计算!#REF!,OFFSET(工资计算!#REF!,ROW()/2,0))</f>
        <v>#REF!</v>
      </c>
      <c r="Q12" s="442">
        <f ca="1">IF(MOD(ROW(),2)&gt;0,工资计算!Y$2,OFFSET(工资计算!Y$2,ROW()/2,0))</f>
        <v>0</v>
      </c>
      <c r="R12" s="442">
        <f ca="1">IF(MOD(ROW(),2)&gt;0,工资计算!Z$2,OFFSET(工资计算!Z$2,ROW()/2,0))</f>
        <v>0</v>
      </c>
      <c r="S12" s="442">
        <f ca="1">IF(MOD(ROW(),2)&gt;0,工资计算!AA$2,OFFSET(工资计算!AA$2,ROW()/2,0))</f>
        <v>0</v>
      </c>
      <c r="T12" s="442">
        <f ca="1">IF(MOD(ROW(),2)&gt;0,工资计算!AB$2,OFFSET(工资计算!AB$2,ROW()/2,0))</f>
        <v>0</v>
      </c>
      <c r="U12" s="442">
        <f ca="1">IF(MOD(ROW(),2)&gt;0,工资计算!AC$2,OFFSET(工资计算!AC$2,ROW()/2,0))</f>
        <v>0</v>
      </c>
      <c r="V12" s="442">
        <f ca="1">IF(MOD(ROW(),2)&gt;0,工资计算!AI$2,OFFSET(工资计算!AI$2,ROW()/2,0))</f>
        <v>0</v>
      </c>
      <c r="W12" s="442">
        <f ca="1">IF(MOD(ROW(),2)&gt;0,工资计算!AJ$2,OFFSET(工资计算!AJ$2,ROW()/2,0))</f>
        <v>0</v>
      </c>
      <c r="X12" s="442">
        <f ca="1">IF(MOD(ROW(),2)&gt;0,工资计算!AK$2,OFFSET(工资计算!AK$2,ROW()/2,0))</f>
        <v>0</v>
      </c>
      <c r="Y12" s="442">
        <f ca="1">IF(MOD(ROW(),2)&gt;0,工资计算!AL$2,OFFSET(工资计算!AL$2,ROW()/2,0))</f>
        <v>0</v>
      </c>
      <c r="Z12" s="442">
        <f ca="1">IF(MOD(ROW(),2)&gt;0,工资计算!AM$2,OFFSET(工资计算!AM$2,ROW()/2,0))</f>
        <v>0</v>
      </c>
    </row>
    <row r="13" spans="1:26" ht="20.149999999999999" customHeight="1">
      <c r="A13" s="442" t="str">
        <f ca="1">IF(MOD(ROW(),2)&gt;0,工资计算!B$2,OFFSET(工资计算!B$2,ROW()/2,0))</f>
        <v>工号</v>
      </c>
      <c r="B13" s="442" t="str">
        <f ca="1">IF(MOD(ROW(),2)&gt;0,工资计算!I$2,OFFSET(工资计算!I$2,ROW()/2,0))</f>
        <v>姓   名</v>
      </c>
      <c r="C13" s="442" t="str">
        <f ca="1">IF(MOD(ROW(),2)&gt;0,工资计算!K$2,OFFSET(工资计算!K$2,ROW()/2,0))</f>
        <v>基 本 工 资</v>
      </c>
      <c r="D13" s="442" t="str">
        <f ca="1">IF(MOD(ROW(),2)&gt;0,工资计算!L$2,OFFSET(工资计算!L$2,ROW()/2,0))</f>
        <v>岗 位     工 资</v>
      </c>
      <c r="E13" s="442" t="str">
        <f ca="1">IF(MOD(ROW(),2)&gt;0,工资计算!M$2,OFFSET(工资计算!M$2,ROW()/2,0))</f>
        <v>交通补贴</v>
      </c>
      <c r="F13" s="442" t="str">
        <f ca="1">IF(MOD(ROW(),2)&gt;0,工资计算!N$2,OFFSET(工资计算!N$2,ROW()/2,0))</f>
        <v>公务补贴</v>
      </c>
      <c r="G13" s="442" t="str">
        <f ca="1">IF(MOD(ROW(),2)&gt;0,工资计算!O$2,OFFSET(工资计算!O$2,ROW()/2,0))</f>
        <v>电话补贴</v>
      </c>
      <c r="H13" s="442" t="str">
        <f ca="1">IF(MOD(ROW(),2)&gt;0,工资计算!P$2,OFFSET(工资计算!P$2,ROW()/2,0))</f>
        <v>车补</v>
      </c>
      <c r="I13" s="442" t="str">
        <f ca="1">IF(MOD(ROW(),2)&gt;0,工资计算!Q$2,OFFSET(工资计算!Q$2,ROW()/2,0))</f>
        <v>午餐补贴</v>
      </c>
      <c r="J13" s="442" t="str">
        <f ca="1">IF(MOD(ROW(),2)&gt;0,工资计算!R$2,OFFSET(工资计算!R$2,ROW()/2,0))</f>
        <v>司龄补</v>
      </c>
      <c r="K13" s="442" t="str">
        <f ca="1">IF(MOD(ROW(),2)&gt;0,工资计算!S$2,OFFSET(工资计算!S$2,ROW()/2,0))</f>
        <v>加 班      天 数</v>
      </c>
      <c r="L13" s="442" t="str">
        <f ca="1">IF(MOD(ROW(),2)&gt;0,工资计算!T$2,OFFSET(工资计算!T$2,ROW()/2,0))</f>
        <v>加  班         工  资</v>
      </c>
      <c r="M13" s="442" t="str">
        <f ca="1">IF(MOD(ROW(),2)&gt;0,工资计算!U$2,OFFSET(工资计算!U$2,ROW()/2,0))</f>
        <v>奖    金</v>
      </c>
      <c r="N13" s="442" t="str">
        <f ca="1">IF(MOD(ROW(),2)&gt;0,工资计算!V$2,OFFSET(工资计算!V$2,ROW()/2,0))</f>
        <v>缺 勤  天 数</v>
      </c>
      <c r="O13" s="442" t="str">
        <f ca="1">IF(MOD(ROW(),2)&gt;0,工资计算!W$2,OFFSET(工资计算!W$2,ROW()/2,0))</f>
        <v>考勤应扣</v>
      </c>
      <c r="P13" s="442" t="e">
        <f ca="1">IF(MOD(ROW(),2)&gt;0,工资计算!#REF!,OFFSET(工资计算!#REF!,ROW()/2,0))</f>
        <v>#REF!</v>
      </c>
      <c r="Q13" s="442" t="str">
        <f ca="1">IF(MOD(ROW(),2)&gt;0,工资计算!Y$2,OFFSET(工资计算!Y$2,ROW()/2,0))</f>
        <v>缴金基数</v>
      </c>
      <c r="R13" s="442" t="str">
        <f ca="1">IF(MOD(ROW(),2)&gt;0,工资计算!Z$2,OFFSET(工资计算!Z$2,ROW()/2,0))</f>
        <v>养    老      保    险</v>
      </c>
      <c r="S13" s="442" t="str">
        <f ca="1">IF(MOD(ROW(),2)&gt;0,工资计算!AA$2,OFFSET(工资计算!AA$2,ROW()/2,0))</f>
        <v>失   业      保   险</v>
      </c>
      <c r="T13" s="442" t="str">
        <f ca="1">IF(MOD(ROW(),2)&gt;0,工资计算!AB$2,OFFSET(工资计算!AB$2,ROW()/2,0))</f>
        <v>医   疗      保   险</v>
      </c>
      <c r="U13" s="442" t="str">
        <f ca="1">IF(MOD(ROW(),2)&gt;0,工资计算!AC$2,OFFSET(工资计算!AC$2,ROW()/2,0))</f>
        <v>住    房    公积金</v>
      </c>
      <c r="V13" s="442" t="str">
        <f ca="1">IF(MOD(ROW(),2)&gt;0,工资计算!AI$2,OFFSET(工资计算!AI$2,ROW()/2,0))</f>
        <v>住    房    公积金   (公司)</v>
      </c>
      <c r="W13" s="442" t="str">
        <f ca="1">IF(MOD(ROW(),2)&gt;0,工资计算!AJ$2,OFFSET(工资计算!AJ$2,ROW()/2,0))</f>
        <v>代扣个人     所 得 税</v>
      </c>
      <c r="X13" s="442">
        <f ca="1">IF(MOD(ROW(),2)&gt;0,工资计算!AK$2,OFFSET(工资计算!AK$2,ROW()/2,0))</f>
        <v>0</v>
      </c>
      <c r="Y13" s="442">
        <f ca="1">IF(MOD(ROW(),2)&gt;0,工资计算!AL$2,OFFSET(工资计算!AL$2,ROW()/2,0))</f>
        <v>0</v>
      </c>
      <c r="Z13" s="442" t="str">
        <f ca="1">IF(MOD(ROW(),2)&gt;0,工资计算!AM$2,OFFSET(工资计算!AM$2,ROW()/2,0))</f>
        <v>实 发 工 资</v>
      </c>
    </row>
    <row r="14" spans="1:26" ht="20.149999999999999" customHeight="1">
      <c r="A14" s="442">
        <f ca="1">IF(MOD(ROW(),2)&gt;0,工资计算!B$2,OFFSET(工资计算!B$2,ROW()/2,0))</f>
        <v>0</v>
      </c>
      <c r="B14" s="442">
        <f ca="1">IF(MOD(ROW(),2)&gt;0,工资计算!I$2,OFFSET(工资计算!I$2,ROW()/2,0))</f>
        <v>0</v>
      </c>
      <c r="C14" s="442">
        <f ca="1">IF(MOD(ROW(),2)&gt;0,工资计算!K$2,OFFSET(工资计算!K$2,ROW()/2,0))</f>
        <v>0</v>
      </c>
      <c r="D14" s="442">
        <f ca="1">IF(MOD(ROW(),2)&gt;0,工资计算!L$2,OFFSET(工资计算!L$2,ROW()/2,0))</f>
        <v>0</v>
      </c>
      <c r="E14" s="442">
        <f ca="1">IF(MOD(ROW(),2)&gt;0,工资计算!M$2,OFFSET(工资计算!M$2,ROW()/2,0))</f>
        <v>0</v>
      </c>
      <c r="F14" s="442">
        <f ca="1">IF(MOD(ROW(),2)&gt;0,工资计算!N$2,OFFSET(工资计算!N$2,ROW()/2,0))</f>
        <v>0</v>
      </c>
      <c r="G14" s="442">
        <f ca="1">IF(MOD(ROW(),2)&gt;0,工资计算!O$2,OFFSET(工资计算!O$2,ROW()/2,0))</f>
        <v>0</v>
      </c>
      <c r="H14" s="442">
        <f ca="1">IF(MOD(ROW(),2)&gt;0,工资计算!P$2,OFFSET(工资计算!P$2,ROW()/2,0))</f>
        <v>0</v>
      </c>
      <c r="I14" s="442">
        <f ca="1">IF(MOD(ROW(),2)&gt;0,工资计算!Q$2,OFFSET(工资计算!Q$2,ROW()/2,0))</f>
        <v>0</v>
      </c>
      <c r="J14" s="442">
        <f ca="1">IF(MOD(ROW(),2)&gt;0,工资计算!R$2,OFFSET(工资计算!R$2,ROW()/2,0))</f>
        <v>0</v>
      </c>
      <c r="K14" s="442">
        <f ca="1">IF(MOD(ROW(),2)&gt;0,工资计算!S$2,OFFSET(工资计算!S$2,ROW()/2,0))</f>
        <v>0</v>
      </c>
      <c r="L14" s="442">
        <f ca="1">IF(MOD(ROW(),2)&gt;0,工资计算!T$2,OFFSET(工资计算!T$2,ROW()/2,0))</f>
        <v>0</v>
      </c>
      <c r="M14" s="442">
        <f ca="1">IF(MOD(ROW(),2)&gt;0,工资计算!U$2,OFFSET(工资计算!U$2,ROW()/2,0))</f>
        <v>0</v>
      </c>
      <c r="N14" s="442">
        <f ca="1">IF(MOD(ROW(),2)&gt;0,工资计算!V$2,OFFSET(工资计算!V$2,ROW()/2,0))</f>
        <v>0</v>
      </c>
      <c r="O14" s="442">
        <f ca="1">IF(MOD(ROW(),2)&gt;0,工资计算!W$2,OFFSET(工资计算!W$2,ROW()/2,0))</f>
        <v>0</v>
      </c>
      <c r="P14" s="442" t="e">
        <f ca="1">IF(MOD(ROW(),2)&gt;0,工资计算!#REF!,OFFSET(工资计算!#REF!,ROW()/2,0))</f>
        <v>#REF!</v>
      </c>
      <c r="Q14" s="442">
        <f ca="1">IF(MOD(ROW(),2)&gt;0,工资计算!Y$2,OFFSET(工资计算!Y$2,ROW()/2,0))</f>
        <v>0</v>
      </c>
      <c r="R14" s="442">
        <f ca="1">IF(MOD(ROW(),2)&gt;0,工资计算!Z$2,OFFSET(工资计算!Z$2,ROW()/2,0))</f>
        <v>0</v>
      </c>
      <c r="S14" s="442">
        <f ca="1">IF(MOD(ROW(),2)&gt;0,工资计算!AA$2,OFFSET(工资计算!AA$2,ROW()/2,0))</f>
        <v>0</v>
      </c>
      <c r="T14" s="442">
        <f ca="1">IF(MOD(ROW(),2)&gt;0,工资计算!AB$2,OFFSET(工资计算!AB$2,ROW()/2,0))</f>
        <v>0</v>
      </c>
      <c r="U14" s="442">
        <f ca="1">IF(MOD(ROW(),2)&gt;0,工资计算!AC$2,OFFSET(工资计算!AC$2,ROW()/2,0))</f>
        <v>0</v>
      </c>
      <c r="V14" s="442">
        <f ca="1">IF(MOD(ROW(),2)&gt;0,工资计算!AI$2,OFFSET(工资计算!AI$2,ROW()/2,0))</f>
        <v>0</v>
      </c>
      <c r="W14" s="442">
        <f ca="1">IF(MOD(ROW(),2)&gt;0,工资计算!AJ$2,OFFSET(工资计算!AJ$2,ROW()/2,0))</f>
        <v>0</v>
      </c>
      <c r="X14" s="442">
        <f ca="1">IF(MOD(ROW(),2)&gt;0,工资计算!AK$2,OFFSET(工资计算!AK$2,ROW()/2,0))</f>
        <v>0</v>
      </c>
      <c r="Y14" s="442">
        <f ca="1">IF(MOD(ROW(),2)&gt;0,工资计算!AL$2,OFFSET(工资计算!AL$2,ROW()/2,0))</f>
        <v>0</v>
      </c>
      <c r="Z14" s="442">
        <f ca="1">IF(MOD(ROW(),2)&gt;0,工资计算!AM$2,OFFSET(工资计算!AM$2,ROW()/2,0))</f>
        <v>0</v>
      </c>
    </row>
    <row r="15" spans="1:26" ht="20.149999999999999" customHeight="1">
      <c r="A15" s="442" t="str">
        <f ca="1">IF(MOD(ROW(),2)&gt;0,工资计算!B$2,OFFSET(工资计算!B$2,ROW()/2,0))</f>
        <v>工号</v>
      </c>
      <c r="B15" s="442" t="str">
        <f ca="1">IF(MOD(ROW(),2)&gt;0,工资计算!I$2,OFFSET(工资计算!I$2,ROW()/2,0))</f>
        <v>姓   名</v>
      </c>
      <c r="C15" s="442" t="str">
        <f ca="1">IF(MOD(ROW(),2)&gt;0,工资计算!K$2,OFFSET(工资计算!K$2,ROW()/2,0))</f>
        <v>基 本 工 资</v>
      </c>
      <c r="D15" s="442" t="str">
        <f ca="1">IF(MOD(ROW(),2)&gt;0,工资计算!L$2,OFFSET(工资计算!L$2,ROW()/2,0))</f>
        <v>岗 位     工 资</v>
      </c>
      <c r="E15" s="442" t="str">
        <f ca="1">IF(MOD(ROW(),2)&gt;0,工资计算!M$2,OFFSET(工资计算!M$2,ROW()/2,0))</f>
        <v>交通补贴</v>
      </c>
      <c r="F15" s="442" t="str">
        <f ca="1">IF(MOD(ROW(),2)&gt;0,工资计算!N$2,OFFSET(工资计算!N$2,ROW()/2,0))</f>
        <v>公务补贴</v>
      </c>
      <c r="G15" s="442" t="str">
        <f ca="1">IF(MOD(ROW(),2)&gt;0,工资计算!O$2,OFFSET(工资计算!O$2,ROW()/2,0))</f>
        <v>电话补贴</v>
      </c>
      <c r="H15" s="442" t="str">
        <f ca="1">IF(MOD(ROW(),2)&gt;0,工资计算!P$2,OFFSET(工资计算!P$2,ROW()/2,0))</f>
        <v>车补</v>
      </c>
      <c r="I15" s="442" t="str">
        <f ca="1">IF(MOD(ROW(),2)&gt;0,工资计算!Q$2,OFFSET(工资计算!Q$2,ROW()/2,0))</f>
        <v>午餐补贴</v>
      </c>
      <c r="J15" s="442" t="str">
        <f ca="1">IF(MOD(ROW(),2)&gt;0,工资计算!R$2,OFFSET(工资计算!R$2,ROW()/2,0))</f>
        <v>司龄补</v>
      </c>
      <c r="K15" s="442" t="str">
        <f ca="1">IF(MOD(ROW(),2)&gt;0,工资计算!S$2,OFFSET(工资计算!S$2,ROW()/2,0))</f>
        <v>加 班      天 数</v>
      </c>
      <c r="L15" s="442" t="str">
        <f ca="1">IF(MOD(ROW(),2)&gt;0,工资计算!T$2,OFFSET(工资计算!T$2,ROW()/2,0))</f>
        <v>加  班         工  资</v>
      </c>
      <c r="M15" s="442" t="str">
        <f ca="1">IF(MOD(ROW(),2)&gt;0,工资计算!U$2,OFFSET(工资计算!U$2,ROW()/2,0))</f>
        <v>奖    金</v>
      </c>
      <c r="N15" s="442" t="str">
        <f ca="1">IF(MOD(ROW(),2)&gt;0,工资计算!V$2,OFFSET(工资计算!V$2,ROW()/2,0))</f>
        <v>缺 勤  天 数</v>
      </c>
      <c r="O15" s="442" t="str">
        <f ca="1">IF(MOD(ROW(),2)&gt;0,工资计算!W$2,OFFSET(工资计算!W$2,ROW()/2,0))</f>
        <v>考勤应扣</v>
      </c>
      <c r="P15" s="442" t="e">
        <f ca="1">IF(MOD(ROW(),2)&gt;0,工资计算!#REF!,OFFSET(工资计算!#REF!,ROW()/2,0))</f>
        <v>#REF!</v>
      </c>
      <c r="Q15" s="442" t="str">
        <f ca="1">IF(MOD(ROW(),2)&gt;0,工资计算!Y$2,OFFSET(工资计算!Y$2,ROW()/2,0))</f>
        <v>缴金基数</v>
      </c>
      <c r="R15" s="442" t="str">
        <f ca="1">IF(MOD(ROW(),2)&gt;0,工资计算!Z$2,OFFSET(工资计算!Z$2,ROW()/2,0))</f>
        <v>养    老      保    险</v>
      </c>
      <c r="S15" s="442" t="str">
        <f ca="1">IF(MOD(ROW(),2)&gt;0,工资计算!AA$2,OFFSET(工资计算!AA$2,ROW()/2,0))</f>
        <v>失   业      保   险</v>
      </c>
      <c r="T15" s="442" t="str">
        <f ca="1">IF(MOD(ROW(),2)&gt;0,工资计算!AB$2,OFFSET(工资计算!AB$2,ROW()/2,0))</f>
        <v>医   疗      保   险</v>
      </c>
      <c r="U15" s="442" t="str">
        <f ca="1">IF(MOD(ROW(),2)&gt;0,工资计算!AC$2,OFFSET(工资计算!AC$2,ROW()/2,0))</f>
        <v>住    房    公积金</v>
      </c>
      <c r="V15" s="442" t="str">
        <f ca="1">IF(MOD(ROW(),2)&gt;0,工资计算!AI$2,OFFSET(工资计算!AI$2,ROW()/2,0))</f>
        <v>住    房    公积金   (公司)</v>
      </c>
      <c r="W15" s="442" t="str">
        <f ca="1">IF(MOD(ROW(),2)&gt;0,工资计算!AJ$2,OFFSET(工资计算!AJ$2,ROW()/2,0))</f>
        <v>代扣个人     所 得 税</v>
      </c>
      <c r="X15" s="442">
        <f ca="1">IF(MOD(ROW(),2)&gt;0,工资计算!AK$2,OFFSET(工资计算!AK$2,ROW()/2,0))</f>
        <v>0</v>
      </c>
      <c r="Y15" s="442">
        <f ca="1">IF(MOD(ROW(),2)&gt;0,工资计算!AL$2,OFFSET(工资计算!AL$2,ROW()/2,0))</f>
        <v>0</v>
      </c>
      <c r="Z15" s="442" t="str">
        <f ca="1">IF(MOD(ROW(),2)&gt;0,工资计算!AM$2,OFFSET(工资计算!AM$2,ROW()/2,0))</f>
        <v>实 发 工 资</v>
      </c>
    </row>
    <row r="16" spans="1:26" ht="20.149999999999999" customHeight="1">
      <c r="A16" s="442">
        <f ca="1">IF(MOD(ROW(),2)&gt;0,工资计算!B$2,OFFSET(工资计算!B$2,ROW()/2,0))</f>
        <v>0</v>
      </c>
      <c r="B16" s="442">
        <f ca="1">IF(MOD(ROW(),2)&gt;0,工资计算!I$2,OFFSET(工资计算!I$2,ROW()/2,0))</f>
        <v>0</v>
      </c>
      <c r="C16" s="442">
        <f ca="1">IF(MOD(ROW(),2)&gt;0,工资计算!K$2,OFFSET(工资计算!K$2,ROW()/2,0))</f>
        <v>0</v>
      </c>
      <c r="D16" s="442">
        <f ca="1">IF(MOD(ROW(),2)&gt;0,工资计算!L$2,OFFSET(工资计算!L$2,ROW()/2,0))</f>
        <v>0</v>
      </c>
      <c r="E16" s="442">
        <f ca="1">IF(MOD(ROW(),2)&gt;0,工资计算!M$2,OFFSET(工资计算!M$2,ROW()/2,0))</f>
        <v>0</v>
      </c>
      <c r="F16" s="442">
        <f ca="1">IF(MOD(ROW(),2)&gt;0,工资计算!N$2,OFFSET(工资计算!N$2,ROW()/2,0))</f>
        <v>0</v>
      </c>
      <c r="G16" s="442">
        <f ca="1">IF(MOD(ROW(),2)&gt;0,工资计算!O$2,OFFSET(工资计算!O$2,ROW()/2,0))</f>
        <v>0</v>
      </c>
      <c r="H16" s="442">
        <f ca="1">IF(MOD(ROW(),2)&gt;0,工资计算!P$2,OFFSET(工资计算!P$2,ROW()/2,0))</f>
        <v>0</v>
      </c>
      <c r="I16" s="442">
        <f ca="1">IF(MOD(ROW(),2)&gt;0,工资计算!Q$2,OFFSET(工资计算!Q$2,ROW()/2,0))</f>
        <v>0</v>
      </c>
      <c r="J16" s="442">
        <f ca="1">IF(MOD(ROW(),2)&gt;0,工资计算!R$2,OFFSET(工资计算!R$2,ROW()/2,0))</f>
        <v>0</v>
      </c>
      <c r="K16" s="442">
        <f ca="1">IF(MOD(ROW(),2)&gt;0,工资计算!S$2,OFFSET(工资计算!S$2,ROW()/2,0))</f>
        <v>0</v>
      </c>
      <c r="L16" s="442">
        <f ca="1">IF(MOD(ROW(),2)&gt;0,工资计算!T$2,OFFSET(工资计算!T$2,ROW()/2,0))</f>
        <v>0</v>
      </c>
      <c r="M16" s="442">
        <f ca="1">IF(MOD(ROW(),2)&gt;0,工资计算!U$2,OFFSET(工资计算!U$2,ROW()/2,0))</f>
        <v>0</v>
      </c>
      <c r="N16" s="442">
        <f ca="1">IF(MOD(ROW(),2)&gt;0,工资计算!V$2,OFFSET(工资计算!V$2,ROW()/2,0))</f>
        <v>0</v>
      </c>
      <c r="O16" s="442">
        <f ca="1">IF(MOD(ROW(),2)&gt;0,工资计算!W$2,OFFSET(工资计算!W$2,ROW()/2,0))</f>
        <v>0</v>
      </c>
      <c r="P16" s="442" t="e">
        <f ca="1">IF(MOD(ROW(),2)&gt;0,工资计算!#REF!,OFFSET(工资计算!#REF!,ROW()/2,0))</f>
        <v>#REF!</v>
      </c>
      <c r="Q16" s="442">
        <f ca="1">IF(MOD(ROW(),2)&gt;0,工资计算!Y$2,OFFSET(工资计算!Y$2,ROW()/2,0))</f>
        <v>0</v>
      </c>
      <c r="R16" s="442">
        <f ca="1">IF(MOD(ROW(),2)&gt;0,工资计算!Z$2,OFFSET(工资计算!Z$2,ROW()/2,0))</f>
        <v>0</v>
      </c>
      <c r="S16" s="442">
        <f ca="1">IF(MOD(ROW(),2)&gt;0,工资计算!AA$2,OFFSET(工资计算!AA$2,ROW()/2,0))</f>
        <v>0</v>
      </c>
      <c r="T16" s="442">
        <f ca="1">IF(MOD(ROW(),2)&gt;0,工资计算!AB$2,OFFSET(工资计算!AB$2,ROW()/2,0))</f>
        <v>0</v>
      </c>
      <c r="U16" s="442">
        <f ca="1">IF(MOD(ROW(),2)&gt;0,工资计算!AC$2,OFFSET(工资计算!AC$2,ROW()/2,0))</f>
        <v>0</v>
      </c>
      <c r="V16" s="442">
        <f ca="1">IF(MOD(ROW(),2)&gt;0,工资计算!AI$2,OFFSET(工资计算!AI$2,ROW()/2,0))</f>
        <v>0</v>
      </c>
      <c r="W16" s="442">
        <f ca="1">IF(MOD(ROW(),2)&gt;0,工资计算!AJ$2,OFFSET(工资计算!AJ$2,ROW()/2,0))</f>
        <v>0</v>
      </c>
      <c r="X16" s="442">
        <f ca="1">IF(MOD(ROW(),2)&gt;0,工资计算!AK$2,OFFSET(工资计算!AK$2,ROW()/2,0))</f>
        <v>0</v>
      </c>
      <c r="Y16" s="442">
        <f ca="1">IF(MOD(ROW(),2)&gt;0,工资计算!AL$2,OFFSET(工资计算!AL$2,ROW()/2,0))</f>
        <v>0</v>
      </c>
      <c r="Z16" s="442">
        <f ca="1">IF(MOD(ROW(),2)&gt;0,工资计算!AM$2,OFFSET(工资计算!AM$2,ROW()/2,0))</f>
        <v>0</v>
      </c>
    </row>
    <row r="17" spans="1:26" ht="20.149999999999999" customHeight="1">
      <c r="A17" s="442" t="str">
        <f ca="1">IF(MOD(ROW(),2)&gt;0,工资计算!B$2,OFFSET(工资计算!B$2,ROW()/2,0))</f>
        <v>工号</v>
      </c>
      <c r="B17" s="442" t="str">
        <f ca="1">IF(MOD(ROW(),2)&gt;0,工资计算!I$2,OFFSET(工资计算!I$2,ROW()/2,0))</f>
        <v>姓   名</v>
      </c>
      <c r="C17" s="442" t="str">
        <f ca="1">IF(MOD(ROW(),2)&gt;0,工资计算!K$2,OFFSET(工资计算!K$2,ROW()/2,0))</f>
        <v>基 本 工 资</v>
      </c>
      <c r="D17" s="442" t="str">
        <f ca="1">IF(MOD(ROW(),2)&gt;0,工资计算!L$2,OFFSET(工资计算!L$2,ROW()/2,0))</f>
        <v>岗 位     工 资</v>
      </c>
      <c r="E17" s="442" t="str">
        <f ca="1">IF(MOD(ROW(),2)&gt;0,工资计算!M$2,OFFSET(工资计算!M$2,ROW()/2,0))</f>
        <v>交通补贴</v>
      </c>
      <c r="F17" s="442" t="str">
        <f ca="1">IF(MOD(ROW(),2)&gt;0,工资计算!N$2,OFFSET(工资计算!N$2,ROW()/2,0))</f>
        <v>公务补贴</v>
      </c>
      <c r="G17" s="442" t="str">
        <f ca="1">IF(MOD(ROW(),2)&gt;0,工资计算!O$2,OFFSET(工资计算!O$2,ROW()/2,0))</f>
        <v>电话补贴</v>
      </c>
      <c r="H17" s="442" t="str">
        <f ca="1">IF(MOD(ROW(),2)&gt;0,工资计算!P$2,OFFSET(工资计算!P$2,ROW()/2,0))</f>
        <v>车补</v>
      </c>
      <c r="I17" s="442" t="str">
        <f ca="1">IF(MOD(ROW(),2)&gt;0,工资计算!Q$2,OFFSET(工资计算!Q$2,ROW()/2,0))</f>
        <v>午餐补贴</v>
      </c>
      <c r="J17" s="442" t="str">
        <f ca="1">IF(MOD(ROW(),2)&gt;0,工资计算!R$2,OFFSET(工资计算!R$2,ROW()/2,0))</f>
        <v>司龄补</v>
      </c>
      <c r="K17" s="442" t="str">
        <f ca="1">IF(MOD(ROW(),2)&gt;0,工资计算!S$2,OFFSET(工资计算!S$2,ROW()/2,0))</f>
        <v>加 班      天 数</v>
      </c>
      <c r="L17" s="442" t="str">
        <f ca="1">IF(MOD(ROW(),2)&gt;0,工资计算!T$2,OFFSET(工资计算!T$2,ROW()/2,0))</f>
        <v>加  班         工  资</v>
      </c>
      <c r="M17" s="442" t="str">
        <f ca="1">IF(MOD(ROW(),2)&gt;0,工资计算!U$2,OFFSET(工资计算!U$2,ROW()/2,0))</f>
        <v>奖    金</v>
      </c>
      <c r="N17" s="442" t="str">
        <f ca="1">IF(MOD(ROW(),2)&gt;0,工资计算!V$2,OFFSET(工资计算!V$2,ROW()/2,0))</f>
        <v>缺 勤  天 数</v>
      </c>
      <c r="O17" s="442" t="str">
        <f ca="1">IF(MOD(ROW(),2)&gt;0,工资计算!W$2,OFFSET(工资计算!W$2,ROW()/2,0))</f>
        <v>考勤应扣</v>
      </c>
      <c r="P17" s="442" t="e">
        <f ca="1">IF(MOD(ROW(),2)&gt;0,工资计算!#REF!,OFFSET(工资计算!#REF!,ROW()/2,0))</f>
        <v>#REF!</v>
      </c>
      <c r="Q17" s="442" t="str">
        <f ca="1">IF(MOD(ROW(),2)&gt;0,工资计算!Y$2,OFFSET(工资计算!Y$2,ROW()/2,0))</f>
        <v>缴金基数</v>
      </c>
      <c r="R17" s="442" t="str">
        <f ca="1">IF(MOD(ROW(),2)&gt;0,工资计算!Z$2,OFFSET(工资计算!Z$2,ROW()/2,0))</f>
        <v>养    老      保    险</v>
      </c>
      <c r="S17" s="442" t="str">
        <f ca="1">IF(MOD(ROW(),2)&gt;0,工资计算!AA$2,OFFSET(工资计算!AA$2,ROW()/2,0))</f>
        <v>失   业      保   险</v>
      </c>
      <c r="T17" s="442" t="str">
        <f ca="1">IF(MOD(ROW(),2)&gt;0,工资计算!AB$2,OFFSET(工资计算!AB$2,ROW()/2,0))</f>
        <v>医   疗      保   险</v>
      </c>
      <c r="U17" s="442" t="str">
        <f ca="1">IF(MOD(ROW(),2)&gt;0,工资计算!AC$2,OFFSET(工资计算!AC$2,ROW()/2,0))</f>
        <v>住    房    公积金</v>
      </c>
      <c r="V17" s="442" t="str">
        <f ca="1">IF(MOD(ROW(),2)&gt;0,工资计算!AI$2,OFFSET(工资计算!AI$2,ROW()/2,0))</f>
        <v>住    房    公积金   (公司)</v>
      </c>
      <c r="W17" s="442" t="str">
        <f ca="1">IF(MOD(ROW(),2)&gt;0,工资计算!AJ$2,OFFSET(工资计算!AJ$2,ROW()/2,0))</f>
        <v>代扣个人     所 得 税</v>
      </c>
      <c r="X17" s="442">
        <f ca="1">IF(MOD(ROW(),2)&gt;0,工资计算!AK$2,OFFSET(工资计算!AK$2,ROW()/2,0))</f>
        <v>0</v>
      </c>
      <c r="Y17" s="442">
        <f ca="1">IF(MOD(ROW(),2)&gt;0,工资计算!AL$2,OFFSET(工资计算!AL$2,ROW()/2,0))</f>
        <v>0</v>
      </c>
      <c r="Z17" s="442" t="str">
        <f ca="1">IF(MOD(ROW(),2)&gt;0,工资计算!AM$2,OFFSET(工资计算!AM$2,ROW()/2,0))</f>
        <v>实 发 工 资</v>
      </c>
    </row>
    <row r="18" spans="1:26" ht="20.149999999999999" customHeight="1">
      <c r="A18" s="442">
        <f ca="1">IF(MOD(ROW(),2)&gt;0,工资计算!B$2,OFFSET(工资计算!B$2,ROW()/2,0))</f>
        <v>0</v>
      </c>
      <c r="B18" s="442">
        <f ca="1">IF(MOD(ROW(),2)&gt;0,工资计算!I$2,OFFSET(工资计算!I$2,ROW()/2,0))</f>
        <v>0</v>
      </c>
      <c r="C18" s="442">
        <f ca="1">IF(MOD(ROW(),2)&gt;0,工资计算!K$2,OFFSET(工资计算!K$2,ROW()/2,0))</f>
        <v>0</v>
      </c>
      <c r="D18" s="442">
        <f ca="1">IF(MOD(ROW(),2)&gt;0,工资计算!L$2,OFFSET(工资计算!L$2,ROW()/2,0))</f>
        <v>0</v>
      </c>
      <c r="E18" s="442">
        <f ca="1">IF(MOD(ROW(),2)&gt;0,工资计算!M$2,OFFSET(工资计算!M$2,ROW()/2,0))</f>
        <v>0</v>
      </c>
      <c r="F18" s="442">
        <f ca="1">IF(MOD(ROW(),2)&gt;0,工资计算!N$2,OFFSET(工资计算!N$2,ROW()/2,0))</f>
        <v>0</v>
      </c>
      <c r="G18" s="442">
        <f ca="1">IF(MOD(ROW(),2)&gt;0,工资计算!O$2,OFFSET(工资计算!O$2,ROW()/2,0))</f>
        <v>0</v>
      </c>
      <c r="H18" s="442">
        <f ca="1">IF(MOD(ROW(),2)&gt;0,工资计算!P$2,OFFSET(工资计算!P$2,ROW()/2,0))</f>
        <v>0</v>
      </c>
      <c r="I18" s="442">
        <f ca="1">IF(MOD(ROW(),2)&gt;0,工资计算!Q$2,OFFSET(工资计算!Q$2,ROW()/2,0))</f>
        <v>0</v>
      </c>
      <c r="J18" s="442">
        <f ca="1">IF(MOD(ROW(),2)&gt;0,工资计算!R$2,OFFSET(工资计算!R$2,ROW()/2,0))</f>
        <v>0</v>
      </c>
      <c r="K18" s="442">
        <f ca="1">IF(MOD(ROW(),2)&gt;0,工资计算!S$2,OFFSET(工资计算!S$2,ROW()/2,0))</f>
        <v>0</v>
      </c>
      <c r="L18" s="442">
        <f ca="1">IF(MOD(ROW(),2)&gt;0,工资计算!T$2,OFFSET(工资计算!T$2,ROW()/2,0))</f>
        <v>0</v>
      </c>
      <c r="M18" s="442">
        <f ca="1">IF(MOD(ROW(),2)&gt;0,工资计算!U$2,OFFSET(工资计算!U$2,ROW()/2,0))</f>
        <v>0</v>
      </c>
      <c r="N18" s="442">
        <f ca="1">IF(MOD(ROW(),2)&gt;0,工资计算!V$2,OFFSET(工资计算!V$2,ROW()/2,0))</f>
        <v>0</v>
      </c>
      <c r="O18" s="442">
        <f ca="1">IF(MOD(ROW(),2)&gt;0,工资计算!W$2,OFFSET(工资计算!W$2,ROW()/2,0))</f>
        <v>0</v>
      </c>
      <c r="P18" s="442" t="e">
        <f ca="1">IF(MOD(ROW(),2)&gt;0,工资计算!#REF!,OFFSET(工资计算!#REF!,ROW()/2,0))</f>
        <v>#REF!</v>
      </c>
      <c r="Q18" s="442">
        <f ca="1">IF(MOD(ROW(),2)&gt;0,工资计算!Y$2,OFFSET(工资计算!Y$2,ROW()/2,0))</f>
        <v>0</v>
      </c>
      <c r="R18" s="442">
        <f ca="1">IF(MOD(ROW(),2)&gt;0,工资计算!Z$2,OFFSET(工资计算!Z$2,ROW()/2,0))</f>
        <v>0</v>
      </c>
      <c r="S18" s="442">
        <f ca="1">IF(MOD(ROW(),2)&gt;0,工资计算!AA$2,OFFSET(工资计算!AA$2,ROW()/2,0))</f>
        <v>0</v>
      </c>
      <c r="T18" s="442">
        <f ca="1">IF(MOD(ROW(),2)&gt;0,工资计算!AB$2,OFFSET(工资计算!AB$2,ROW()/2,0))</f>
        <v>0</v>
      </c>
      <c r="U18" s="442">
        <f ca="1">IF(MOD(ROW(),2)&gt;0,工资计算!AC$2,OFFSET(工资计算!AC$2,ROW()/2,0))</f>
        <v>0</v>
      </c>
      <c r="V18" s="442">
        <f ca="1">IF(MOD(ROW(),2)&gt;0,工资计算!AI$2,OFFSET(工资计算!AI$2,ROW()/2,0))</f>
        <v>0</v>
      </c>
      <c r="W18" s="442">
        <f ca="1">IF(MOD(ROW(),2)&gt;0,工资计算!AJ$2,OFFSET(工资计算!AJ$2,ROW()/2,0))</f>
        <v>0</v>
      </c>
      <c r="X18" s="442">
        <f ca="1">IF(MOD(ROW(),2)&gt;0,工资计算!AK$2,OFFSET(工资计算!AK$2,ROW()/2,0))</f>
        <v>0</v>
      </c>
      <c r="Y18" s="442">
        <f ca="1">IF(MOD(ROW(),2)&gt;0,工资计算!AL$2,OFFSET(工资计算!AL$2,ROW()/2,0))</f>
        <v>0</v>
      </c>
      <c r="Z18" s="442">
        <f ca="1">IF(MOD(ROW(),2)&gt;0,工资计算!AM$2,OFFSET(工资计算!AM$2,ROW()/2,0))</f>
        <v>0</v>
      </c>
    </row>
  </sheetData>
  <phoneticPr fontId="3" type="noConversion"/>
  <printOptions horizontalCentered="1"/>
  <pageMargins left="0.11811023622047245" right="0.11811023622047245" top="0.98425196850393704" bottom="0.98425196850393704" header="0.51181102362204722" footer="0.51181102362204722"/>
  <pageSetup paperSize="9" scale="90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63"/>
  <sheetViews>
    <sheetView showZeros="0" workbookViewId="0"/>
  </sheetViews>
  <sheetFormatPr defaultColWidth="9" defaultRowHeight="13"/>
  <cols>
    <col min="1" max="1" width="9.08203125" style="460" bestFit="1" customWidth="1"/>
    <col min="2" max="2" width="11.08203125" style="457" customWidth="1"/>
    <col min="3" max="3" width="8.75" style="457" customWidth="1"/>
    <col min="4" max="6" width="9.08203125" style="457" bestFit="1" customWidth="1"/>
    <col min="7" max="7" width="6.75" style="457" bestFit="1" customWidth="1"/>
    <col min="8" max="8" width="9.08203125" style="457" bestFit="1" customWidth="1"/>
    <col min="9" max="9" width="6.75" style="457" bestFit="1" customWidth="1"/>
    <col min="10" max="10" width="6.25" style="457" hidden="1" customWidth="1"/>
    <col min="11" max="11" width="9.75" style="457" customWidth="1"/>
    <col min="12" max="12" width="6.08203125" style="457" customWidth="1"/>
    <col min="13" max="13" width="5.75" style="457" hidden="1" customWidth="1"/>
    <col min="14" max="14" width="9.75" style="457" customWidth="1"/>
    <col min="15" max="15" width="7.75" style="457" customWidth="1"/>
    <col min="16" max="16" width="10.25" style="457" customWidth="1"/>
    <col min="17" max="17" width="9.75" style="457" customWidth="1"/>
    <col min="18" max="18" width="10" style="457" customWidth="1"/>
    <col min="19" max="20" width="9.58203125" style="457" customWidth="1"/>
    <col min="21" max="21" width="7" style="457" customWidth="1"/>
    <col min="22" max="22" width="10" style="457" customWidth="1"/>
    <col min="23" max="23" width="12.75" style="457" bestFit="1" customWidth="1"/>
    <col min="24" max="16384" width="9" style="457"/>
  </cols>
  <sheetData>
    <row r="1" spans="1:27" s="461" customFormat="1" ht="52.5" thickTop="1">
      <c r="A1" s="462" t="str">
        <f ca="1">CHOOSE(MOD(ROW(),3)+1,"",工资计算!I$2,OFFSET(工资计算!I$2,ROW()/3+1,))</f>
        <v>姓   名</v>
      </c>
      <c r="B1" s="463" t="str">
        <f ca="1">CHOOSE(MOD(ROW(),3)+1,"",工资计算!K$2,OFFSET(工资计算!K$2,ROW()/3+1,))</f>
        <v>基 本 工 资</v>
      </c>
      <c r="C1" s="463" t="str">
        <f ca="1">CHOOSE(MOD(ROW(),3)+1,"",工资计算!L$2,OFFSET(工资计算!L$2,ROW()/3+1,))</f>
        <v>岗 位     工 资</v>
      </c>
      <c r="D1" s="463" t="str">
        <f ca="1">CHOOSE(MOD(ROW(),3)+1,"",工资计算!M$2,OFFSET(工资计算!M$2,ROW()/3+1,))</f>
        <v>交通补贴</v>
      </c>
      <c r="E1" s="463" t="str">
        <f ca="1">CHOOSE(MOD(ROW(),3)+1,"",工资计算!N$2,OFFSET(工资计算!N$2,ROW()/3+1,))</f>
        <v>公务补贴</v>
      </c>
      <c r="F1" s="463" t="str">
        <f ca="1">CHOOSE(MOD(ROW(),3)+1,"",工资计算!O$2,OFFSET(工资计算!O$2,ROW()/3+1,))</f>
        <v>电话补贴</v>
      </c>
      <c r="G1" s="463" t="str">
        <f ca="1">CHOOSE(MOD(ROW(),3)+1,"",工资计算!P$2,OFFSET(工资计算!P$2,ROW()/3+1,))</f>
        <v>车补</v>
      </c>
      <c r="H1" s="463" t="str">
        <f ca="1">CHOOSE(MOD(ROW(),3)+1,"",工资计算!Q$2,OFFSET(工资计算!Q$2,ROW()/3+1,))</f>
        <v>午餐补贴</v>
      </c>
      <c r="I1" s="463" t="str">
        <f ca="1">CHOOSE(MOD(ROW(),3)+1,"",工资计算!R$2,OFFSET(工资计算!R$2,ROW()/3+1,))</f>
        <v>司龄补</v>
      </c>
      <c r="J1" s="463" t="str">
        <f ca="1">CHOOSE(MOD(ROW(),3)+1,"",工资计算!S$2,OFFSET(工资计算!S$2,ROW()/3+1,))</f>
        <v>加 班      天 数</v>
      </c>
      <c r="K1" s="463" t="str">
        <f ca="1">CHOOSE(MOD(ROW(),3)+1,"",工资计算!T$2,OFFSET(工资计算!T$2,ROW()/3+1,))</f>
        <v>加  班         工  资</v>
      </c>
      <c r="L1" s="463" t="str">
        <f ca="1">CHOOSE(MOD(ROW(),3)+1,"",工资计算!U$2,OFFSET(工资计算!U$2,ROW()/3+1,))</f>
        <v>奖    金</v>
      </c>
      <c r="M1" s="463" t="str">
        <f ca="1">CHOOSE(MOD(ROW(),3)+1,"",工资计算!V$2,OFFSET(工资计算!V$2,ROW()/3+1,))</f>
        <v>缺 勤  天 数</v>
      </c>
      <c r="N1" s="463" t="str">
        <f ca="1">CHOOSE(MOD(ROW(),3)+1,"",工资计算!W$2,OFFSET(工资计算!W$2,ROW()/3+1,))</f>
        <v>考勤应扣</v>
      </c>
      <c r="O1" s="463" t="e">
        <f ca="1">CHOOSE(MOD(ROW(),3)+1,"",工资计算!#REF!,OFFSET(工资计算!#REF!,ROW()/3+1,))</f>
        <v>#REF!</v>
      </c>
      <c r="P1" s="463" t="str">
        <f ca="1">CHOOSE(MOD(ROW(),3)+1,"",工资计算!Y$2,OFFSET(工资计算!Y$2,ROW()/3+1,))</f>
        <v>缴金基数</v>
      </c>
      <c r="Q1" s="463" t="str">
        <f ca="1">CHOOSE(MOD(ROW(),3)+1,"",工资计算!Z$2,OFFSET(工资计算!Z$2,ROW()/3+1,))</f>
        <v>养    老      保    险</v>
      </c>
      <c r="R1" s="463" t="str">
        <f ca="1">CHOOSE(MOD(ROW(),3)+1,"",工资计算!AA$2,OFFSET(工资计算!AA$2,ROW()/3+1,))</f>
        <v>失   业      保   险</v>
      </c>
      <c r="S1" s="463" t="str">
        <f ca="1">CHOOSE(MOD(ROW(),3)+1,"",工资计算!AB$2,OFFSET(工资计算!AB$2,ROW()/3+1,))</f>
        <v>医   疗      保   险</v>
      </c>
      <c r="T1" s="463" t="str">
        <f ca="1">CHOOSE(MOD(ROW(),3)+1,"",工资计算!AC$2,OFFSET(工资计算!AC$2,ROW()/3+1,))</f>
        <v>住    房    公积金</v>
      </c>
      <c r="U1" s="463" t="str">
        <f ca="1">CHOOSE(MOD(ROW(),3)+1,"",工资计算!AI$2,OFFSET(工资计算!AI$2,ROW()/3+1,))</f>
        <v>住    房    公积金   (公司)</v>
      </c>
      <c r="V1" s="463" t="str">
        <f ca="1">CHOOSE(MOD(ROW(),3)+1,"",工资计算!AJ$2,OFFSET(工资计算!AJ$2,ROW()/3+1,))</f>
        <v>代扣个人     所 得 税</v>
      </c>
      <c r="W1" s="464" t="str">
        <f ca="1">CHOOSE(MOD(ROW(),3)+1,"",工资计算!AM$2,OFFSET(工资计算!AM$2,ROW()/3+1,))</f>
        <v>实 发 工 资</v>
      </c>
      <c r="X1" s="474"/>
      <c r="Y1" s="474"/>
      <c r="Z1" s="474"/>
      <c r="AA1" s="474"/>
    </row>
    <row r="2" spans="1:27" ht="13.5" thickBot="1">
      <c r="A2" s="465" t="str">
        <f ca="1">CHOOSE(MOD(ROW(),3)+1,"",工资计算!I$2,OFFSET(工资计算!I$2,ROW()/3+1,))</f>
        <v>ABC</v>
      </c>
      <c r="B2" s="466">
        <f ca="1">CHOOSE(MOD(ROW(),3)+1,"",工资计算!K$2,OFFSET(工资计算!K$2,ROW()/3+1,))</f>
        <v>300</v>
      </c>
      <c r="C2" s="466">
        <f ca="1">CHOOSE(MOD(ROW(),3)+1,"",工资计算!L$2,OFFSET(工资计算!L$2,ROW()/3+1,))</f>
        <v>0</v>
      </c>
      <c r="D2" s="466">
        <f ca="1">CHOOSE(MOD(ROW(),3)+1,"",工资计算!M$2,OFFSET(工资计算!M$2,ROW()/3+1,))</f>
        <v>0</v>
      </c>
      <c r="E2" s="466">
        <f ca="1">CHOOSE(MOD(ROW(),3)+1,"",工资计算!N$2,OFFSET(工资计算!N$2,ROW()/3+1,))</f>
        <v>0</v>
      </c>
      <c r="F2" s="466">
        <f ca="1">CHOOSE(MOD(ROW(),3)+1,"",工资计算!O$2,OFFSET(工资计算!O$2,ROW()/3+1,))</f>
        <v>0</v>
      </c>
      <c r="G2" s="466">
        <f ca="1">CHOOSE(MOD(ROW(),3)+1,"",工资计算!P$2,OFFSET(工资计算!P$2,ROW()/3+1,))</f>
        <v>0</v>
      </c>
      <c r="H2" s="466">
        <f ca="1">CHOOSE(MOD(ROW(),3)+1,"",工资计算!Q$2,OFFSET(工资计算!Q$2,ROW()/3+1,))</f>
        <v>0</v>
      </c>
      <c r="I2" s="466">
        <f ca="1">CHOOSE(MOD(ROW(),3)+1,"",工资计算!R$2,OFFSET(工资计算!R$2,ROW()/3+1,))</f>
        <v>0</v>
      </c>
      <c r="J2" s="466">
        <f ca="1">CHOOSE(MOD(ROW(),3)+1,"",工资计算!S$2,OFFSET(工资计算!S$2,ROW()/3+1,))</f>
        <v>0</v>
      </c>
      <c r="K2" s="466">
        <f ca="1">CHOOSE(MOD(ROW(),3)+1,"",工资计算!T$2,OFFSET(工资计算!T$2,ROW()/3+1,))</f>
        <v>0</v>
      </c>
      <c r="L2" s="466">
        <f ca="1">CHOOSE(MOD(ROW(),3)+1,"",工资计算!U$2,OFFSET(工资计算!U$2,ROW()/3+1,))</f>
        <v>0</v>
      </c>
      <c r="M2" s="466">
        <f ca="1">CHOOSE(MOD(ROW(),3)+1,"",工资计算!V$2,OFFSET(工资计算!V$2,ROW()/3+1,))</f>
        <v>0</v>
      </c>
      <c r="N2" s="466">
        <f ca="1">CHOOSE(MOD(ROW(),3)+1,"",工资计算!W$2,OFFSET(工资计算!W$2,ROW()/3+1,))</f>
        <v>0</v>
      </c>
      <c r="O2" s="466" t="e">
        <f ca="1">CHOOSE(MOD(ROW(),3)+1,"",工资计算!#REF!,OFFSET(工资计算!#REF!,ROW()/3+1,))</f>
        <v>#REF!</v>
      </c>
      <c r="P2" s="466">
        <f ca="1">CHOOSE(MOD(ROW(),3)+1,"",工资计算!Y$2,OFFSET(工资计算!Y$2,ROW()/3+1,))</f>
        <v>4292</v>
      </c>
      <c r="Q2" s="466">
        <f ca="1">CHOOSE(MOD(ROW(),3)+1,"",工资计算!Z$2,OFFSET(工资计算!Z$2,ROW()/3+1,))</f>
        <v>343.4</v>
      </c>
      <c r="R2" s="466">
        <f ca="1">CHOOSE(MOD(ROW(),3)+1,"",工资计算!AA$2,OFFSET(工资计算!AA$2,ROW()/3+1,))</f>
        <v>21.5</v>
      </c>
      <c r="S2" s="466">
        <f ca="1">CHOOSE(MOD(ROW(),3)+1,"",工资计算!AB$2,OFFSET(工资计算!AB$2,ROW()/3+1,))</f>
        <v>85.9</v>
      </c>
      <c r="T2" s="466">
        <f ca="1">CHOOSE(MOD(ROW(),3)+1,"",工资计算!AC$2,OFFSET(工资计算!AC$2,ROW()/3+1,))</f>
        <v>210</v>
      </c>
      <c r="U2" s="466">
        <f ca="1">CHOOSE(MOD(ROW(),3)+1,"",工资计算!AI$2,OFFSET(工资计算!AI$2,ROW()/3+1,))</f>
        <v>210</v>
      </c>
      <c r="V2" s="466">
        <f ca="1">CHOOSE(MOD(ROW(),3)+1,"",工资计算!AJ$2,OFFSET(工资计算!AJ$2,ROW()/3+1,))</f>
        <v>0</v>
      </c>
      <c r="W2" s="467">
        <f ca="1">CHOOSE(MOD(ROW(),3)+1,"",工资计算!AM$2,OFFSET(工资计算!AM$2,ROW()/3+1,))</f>
        <v>2900</v>
      </c>
      <c r="X2" s="459"/>
      <c r="Y2" s="459"/>
      <c r="Z2" s="459"/>
      <c r="AA2" s="459"/>
    </row>
    <row r="3" spans="1:27" ht="14" thickTop="1" thickBot="1">
      <c r="A3" s="458" t="str">
        <f ca="1">CHOOSE(MOD(ROW(),3)+1,"",工资计算!I$2,OFFSET(工资计算!I$2,ROW()/3+1,))</f>
        <v/>
      </c>
      <c r="B3" s="459" t="str">
        <f ca="1">CHOOSE(MOD(ROW(),3)+1,"",工资计算!K$2,OFFSET(工资计算!K$2,ROW()/3+1,))</f>
        <v/>
      </c>
      <c r="C3" s="459" t="str">
        <f ca="1">CHOOSE(MOD(ROW(),3)+1,"",工资计算!L$2,OFFSET(工资计算!L$2,ROW()/3+1,))</f>
        <v/>
      </c>
      <c r="D3" s="459" t="str">
        <f ca="1">CHOOSE(MOD(ROW(),3)+1,"",工资计算!M$2,OFFSET(工资计算!M$2,ROW()/3+1,))</f>
        <v/>
      </c>
      <c r="E3" s="459" t="str">
        <f ca="1">CHOOSE(MOD(ROW(),3)+1,"",工资计算!N$2,OFFSET(工资计算!N$2,ROW()/3+1,))</f>
        <v/>
      </c>
      <c r="F3" s="459" t="str">
        <f ca="1">CHOOSE(MOD(ROW(),3)+1,"",工资计算!O$2,OFFSET(工资计算!O$2,ROW()/3+1,))</f>
        <v/>
      </c>
      <c r="G3" s="459" t="str">
        <f ca="1">CHOOSE(MOD(ROW(),3)+1,"",工资计算!P$2,OFFSET(工资计算!P$2,ROW()/3+1,))</f>
        <v/>
      </c>
      <c r="H3" s="459" t="str">
        <f ca="1">CHOOSE(MOD(ROW(),3)+1,"",工资计算!Q$2,OFFSET(工资计算!Q$2,ROW()/3+1,))</f>
        <v/>
      </c>
      <c r="I3" s="459" t="str">
        <f ca="1">CHOOSE(MOD(ROW(),3)+1,"",工资计算!R$2,OFFSET(工资计算!R$2,ROW()/3+1,))</f>
        <v/>
      </c>
      <c r="J3" s="459" t="str">
        <f ca="1">CHOOSE(MOD(ROW(),3)+1,"",工资计算!S$2,OFFSET(工资计算!S$2,ROW()/3+1,))</f>
        <v/>
      </c>
      <c r="K3" s="459" t="str">
        <f ca="1">CHOOSE(MOD(ROW(),3)+1,"",工资计算!T$2,OFFSET(工资计算!T$2,ROW()/3+1,))</f>
        <v/>
      </c>
      <c r="L3" s="459" t="str">
        <f ca="1">CHOOSE(MOD(ROW(),3)+1,"",工资计算!U$2,OFFSET(工资计算!U$2,ROW()/3+1,))</f>
        <v/>
      </c>
      <c r="M3" s="459" t="str">
        <f ca="1">CHOOSE(MOD(ROW(),3)+1,"",工资计算!V$2,OFFSET(工资计算!V$2,ROW()/3+1,))</f>
        <v/>
      </c>
      <c r="N3" s="459" t="str">
        <f ca="1">CHOOSE(MOD(ROW(),3)+1,"",工资计算!W$2,OFFSET(工资计算!W$2,ROW()/3+1,))</f>
        <v/>
      </c>
      <c r="O3" s="459" t="str">
        <f ca="1">CHOOSE(MOD(ROW(),3)+1,"",工资计算!#REF!,OFFSET(工资计算!#REF!,ROW()/3+1,))</f>
        <v/>
      </c>
      <c r="P3" s="459" t="str">
        <f ca="1">CHOOSE(MOD(ROW(),3)+1,"",工资计算!Y$2,OFFSET(工资计算!Y$2,ROW()/3+1,))</f>
        <v/>
      </c>
      <c r="Q3" s="459" t="str">
        <f ca="1">CHOOSE(MOD(ROW(),3)+1,"",工资计算!Z$2,OFFSET(工资计算!Z$2,ROW()/3+1,))</f>
        <v/>
      </c>
      <c r="R3" s="459" t="str">
        <f ca="1">CHOOSE(MOD(ROW(),3)+1,"",工资计算!AA$2,OFFSET(工资计算!AA$2,ROW()/3+1,))</f>
        <v/>
      </c>
      <c r="S3" s="459" t="str">
        <f ca="1">CHOOSE(MOD(ROW(),3)+1,"",工资计算!AB$2,OFFSET(工资计算!AB$2,ROW()/3+1,))</f>
        <v/>
      </c>
      <c r="T3" s="459" t="str">
        <f ca="1">CHOOSE(MOD(ROW(),3)+1,"",工资计算!AC$2,OFFSET(工资计算!AC$2,ROW()/3+1,))</f>
        <v/>
      </c>
      <c r="U3" s="459" t="str">
        <f ca="1">CHOOSE(MOD(ROW(),3)+1,"",工资计算!AI$2,OFFSET(工资计算!AI$2,ROW()/3+1,))</f>
        <v/>
      </c>
      <c r="V3" s="459" t="str">
        <f ca="1">CHOOSE(MOD(ROW(),3)+1,"",工资计算!AJ$2,OFFSET(工资计算!AJ$2,ROW()/3+1,))</f>
        <v/>
      </c>
      <c r="W3" s="459" t="str">
        <f ca="1">CHOOSE(MOD(ROW(),3)+1,"",工资计算!AM$2,OFFSET(工资计算!AM$2,ROW()/3+1,))</f>
        <v/>
      </c>
      <c r="X3" s="459"/>
      <c r="Y3" s="459"/>
      <c r="Z3" s="459"/>
      <c r="AA3" s="459"/>
    </row>
    <row r="4" spans="1:27" s="461" customFormat="1" ht="52.5" thickTop="1">
      <c r="A4" s="468" t="str">
        <f ca="1">CHOOSE(MOD(ROW(),3)+1,"",工资计算!I$2,OFFSET(工资计算!I$2,ROW()/3+1,))</f>
        <v>姓   名</v>
      </c>
      <c r="B4" s="469" t="str">
        <f ca="1">CHOOSE(MOD(ROW(),3)+1,"",工资计算!K$2,OFFSET(工资计算!K$2,ROW()/3+1,))</f>
        <v>基 本 工 资</v>
      </c>
      <c r="C4" s="469" t="str">
        <f ca="1">CHOOSE(MOD(ROW(),3)+1,"",工资计算!L$2,OFFSET(工资计算!L$2,ROW()/3+1,))</f>
        <v>岗 位     工 资</v>
      </c>
      <c r="D4" s="469" t="str">
        <f ca="1">CHOOSE(MOD(ROW(),3)+1,"",工资计算!M$2,OFFSET(工资计算!M$2,ROW()/3+1,))</f>
        <v>交通补贴</v>
      </c>
      <c r="E4" s="469" t="str">
        <f ca="1">CHOOSE(MOD(ROW(),3)+1,"",工资计算!N$2,OFFSET(工资计算!N$2,ROW()/3+1,))</f>
        <v>公务补贴</v>
      </c>
      <c r="F4" s="469" t="str">
        <f ca="1">CHOOSE(MOD(ROW(),3)+1,"",工资计算!O$2,OFFSET(工资计算!O$2,ROW()/3+1,))</f>
        <v>电话补贴</v>
      </c>
      <c r="G4" s="469" t="str">
        <f ca="1">CHOOSE(MOD(ROW(),3)+1,"",工资计算!P$2,OFFSET(工资计算!P$2,ROW()/3+1,))</f>
        <v>车补</v>
      </c>
      <c r="H4" s="469" t="str">
        <f ca="1">CHOOSE(MOD(ROW(),3)+1,"",工资计算!Q$2,OFFSET(工资计算!Q$2,ROW()/3+1,))</f>
        <v>午餐补贴</v>
      </c>
      <c r="I4" s="469" t="str">
        <f ca="1">CHOOSE(MOD(ROW(),3)+1,"",工资计算!R$2,OFFSET(工资计算!R$2,ROW()/3+1,))</f>
        <v>司龄补</v>
      </c>
      <c r="J4" s="469" t="str">
        <f ca="1">CHOOSE(MOD(ROW(),3)+1,"",工资计算!S$2,OFFSET(工资计算!S$2,ROW()/3+1,))</f>
        <v>加 班      天 数</v>
      </c>
      <c r="K4" s="469" t="str">
        <f ca="1">CHOOSE(MOD(ROW(),3)+1,"",工资计算!T$2,OFFSET(工资计算!T$2,ROW()/3+1,))</f>
        <v>加  班         工  资</v>
      </c>
      <c r="L4" s="469" t="str">
        <f ca="1">CHOOSE(MOD(ROW(),3)+1,"",工资计算!U$2,OFFSET(工资计算!U$2,ROW()/3+1,))</f>
        <v>奖    金</v>
      </c>
      <c r="M4" s="469" t="str">
        <f ca="1">CHOOSE(MOD(ROW(),3)+1,"",工资计算!V$2,OFFSET(工资计算!V$2,ROW()/3+1,))</f>
        <v>缺 勤  天 数</v>
      </c>
      <c r="N4" s="469" t="str">
        <f ca="1">CHOOSE(MOD(ROW(),3)+1,"",工资计算!W$2,OFFSET(工资计算!W$2,ROW()/3+1,))</f>
        <v>考勤应扣</v>
      </c>
      <c r="O4" s="469" t="e">
        <f ca="1">CHOOSE(MOD(ROW(),3)+1,"",工资计算!#REF!,OFFSET(工资计算!#REF!,ROW()/3+1,))</f>
        <v>#REF!</v>
      </c>
      <c r="P4" s="469" t="str">
        <f ca="1">CHOOSE(MOD(ROW(),3)+1,"",工资计算!Y$2,OFFSET(工资计算!Y$2,ROW()/3+1,))</f>
        <v>缴金基数</v>
      </c>
      <c r="Q4" s="469" t="str">
        <f ca="1">CHOOSE(MOD(ROW(),3)+1,"",工资计算!Z$2,OFFSET(工资计算!Z$2,ROW()/3+1,))</f>
        <v>养    老      保    险</v>
      </c>
      <c r="R4" s="469" t="str">
        <f ca="1">CHOOSE(MOD(ROW(),3)+1,"",工资计算!AA$2,OFFSET(工资计算!AA$2,ROW()/3+1,))</f>
        <v>失   业      保   险</v>
      </c>
      <c r="S4" s="469" t="str">
        <f ca="1">CHOOSE(MOD(ROW(),3)+1,"",工资计算!AB$2,OFFSET(工资计算!AB$2,ROW()/3+1,))</f>
        <v>医   疗      保   险</v>
      </c>
      <c r="T4" s="469" t="str">
        <f ca="1">CHOOSE(MOD(ROW(),3)+1,"",工资计算!AC$2,OFFSET(工资计算!AC$2,ROW()/3+1,))</f>
        <v>住    房    公积金</v>
      </c>
      <c r="U4" s="469" t="str">
        <f ca="1">CHOOSE(MOD(ROW(),3)+1,"",工资计算!AI$2,OFFSET(工资计算!AI$2,ROW()/3+1,))</f>
        <v>住    房    公积金   (公司)</v>
      </c>
      <c r="V4" s="469" t="str">
        <f ca="1">CHOOSE(MOD(ROW(),3)+1,"",工资计算!AJ$2,OFFSET(工资计算!AJ$2,ROW()/3+1,))</f>
        <v>代扣个人     所 得 税</v>
      </c>
      <c r="W4" s="470" t="str">
        <f ca="1">CHOOSE(MOD(ROW(),3)+1,"",工资计算!AM$2,OFFSET(工资计算!AM$2,ROW()/3+1,))</f>
        <v>实 发 工 资</v>
      </c>
      <c r="X4" s="474"/>
      <c r="Y4" s="474"/>
      <c r="Z4" s="474"/>
      <c r="AA4" s="474"/>
    </row>
    <row r="5" spans="1:27" ht="13.5" thickBot="1">
      <c r="A5" s="471" t="str">
        <f ca="1">CHOOSE(MOD(ROW(),3)+1,"",工资计算!I$2,OFFSET(工资计算!I$2,ROW()/3+1,))</f>
        <v>CBD</v>
      </c>
      <c r="B5" s="472">
        <f ca="1">CHOOSE(MOD(ROW(),3)+1,"",工资计算!K$2,OFFSET(工资计算!K$2,ROW()/3+1,))</f>
        <v>1000</v>
      </c>
      <c r="C5" s="472">
        <f ca="1">CHOOSE(MOD(ROW(),3)+1,"",工资计算!L$2,OFFSET(工资计算!L$2,ROW()/3+1,))</f>
        <v>0</v>
      </c>
      <c r="D5" s="472">
        <f ca="1">CHOOSE(MOD(ROW(),3)+1,"",工资计算!M$2,OFFSET(工资计算!M$2,ROW()/3+1,))</f>
        <v>0</v>
      </c>
      <c r="E5" s="472">
        <f ca="1">CHOOSE(MOD(ROW(),3)+1,"",工资计算!N$2,OFFSET(工资计算!N$2,ROW()/3+1,))</f>
        <v>0</v>
      </c>
      <c r="F5" s="472">
        <f ca="1">CHOOSE(MOD(ROW(),3)+1,"",工资计算!O$2,OFFSET(工资计算!O$2,ROW()/3+1,))</f>
        <v>0</v>
      </c>
      <c r="G5" s="472">
        <f ca="1">CHOOSE(MOD(ROW(),3)+1,"",工资计算!P$2,OFFSET(工资计算!P$2,ROW()/3+1,))</f>
        <v>0</v>
      </c>
      <c r="H5" s="472">
        <f ca="1">CHOOSE(MOD(ROW(),3)+1,"",工资计算!Q$2,OFFSET(工资计算!Q$2,ROW()/3+1,))</f>
        <v>0</v>
      </c>
      <c r="I5" s="472">
        <f ca="1">CHOOSE(MOD(ROW(),3)+1,"",工资计算!R$2,OFFSET(工资计算!R$2,ROW()/3+1,))</f>
        <v>0</v>
      </c>
      <c r="J5" s="472">
        <f ca="1">CHOOSE(MOD(ROW(),3)+1,"",工资计算!S$2,OFFSET(工资计算!S$2,ROW()/3+1,))</f>
        <v>0</v>
      </c>
      <c r="K5" s="472">
        <f ca="1">CHOOSE(MOD(ROW(),3)+1,"",工资计算!T$2,OFFSET(工资计算!T$2,ROW()/3+1,))</f>
        <v>0</v>
      </c>
      <c r="L5" s="472">
        <f ca="1">CHOOSE(MOD(ROW(),3)+1,"",工资计算!U$2,OFFSET(工资计算!U$2,ROW()/3+1,))</f>
        <v>0</v>
      </c>
      <c r="M5" s="472">
        <f ca="1">CHOOSE(MOD(ROW(),3)+1,"",工资计算!V$2,OFFSET(工资计算!V$2,ROW()/3+1,))</f>
        <v>0</v>
      </c>
      <c r="N5" s="472">
        <f ca="1">CHOOSE(MOD(ROW(),3)+1,"",工资计算!W$2,OFFSET(工资计算!W$2,ROW()/3+1,))</f>
        <v>0</v>
      </c>
      <c r="O5" s="472" t="e">
        <f ca="1">CHOOSE(MOD(ROW(),3)+1,"",工资计算!#REF!,OFFSET(工资计算!#REF!,ROW()/3+1,))</f>
        <v>#REF!</v>
      </c>
      <c r="P5" s="472">
        <f ca="1">CHOOSE(MOD(ROW(),3)+1,"",工资计算!Y$2,OFFSET(工资计算!Y$2,ROW()/3+1,))</f>
        <v>4292</v>
      </c>
      <c r="Q5" s="472">
        <f ca="1">CHOOSE(MOD(ROW(),3)+1,"",工资计算!Z$2,OFFSET(工资计算!Z$2,ROW()/3+1,))</f>
        <v>343.4</v>
      </c>
      <c r="R5" s="472">
        <f ca="1">CHOOSE(MOD(ROW(),3)+1,"",工资计算!AA$2,OFFSET(工资计算!AA$2,ROW()/3+1,))</f>
        <v>21.5</v>
      </c>
      <c r="S5" s="472">
        <f ca="1">CHOOSE(MOD(ROW(),3)+1,"",工资计算!AB$2,OFFSET(工资计算!AB$2,ROW()/3+1,))</f>
        <v>85.9</v>
      </c>
      <c r="T5" s="472">
        <f ca="1">CHOOSE(MOD(ROW(),3)+1,"",工资计算!AC$2,OFFSET(工资计算!AC$2,ROW()/3+1,))</f>
        <v>210</v>
      </c>
      <c r="U5" s="472">
        <f ca="1">CHOOSE(MOD(ROW(),3)+1,"",工资计算!AI$2,OFFSET(工资计算!AI$2,ROW()/3+1,))</f>
        <v>210</v>
      </c>
      <c r="V5" s="472">
        <f ca="1">CHOOSE(MOD(ROW(),3)+1,"",工资计算!AJ$2,OFFSET(工资计算!AJ$2,ROW()/3+1,))</f>
        <v>0</v>
      </c>
      <c r="W5" s="473">
        <f ca="1">CHOOSE(MOD(ROW(),3)+1,"",工资计算!AM$2,OFFSET(工资计算!AM$2,ROW()/3+1,))</f>
        <v>2380</v>
      </c>
      <c r="X5" s="459"/>
      <c r="Y5" s="459"/>
      <c r="Z5" s="459"/>
      <c r="AA5" s="459"/>
    </row>
    <row r="6" spans="1:27" ht="14" thickTop="1" thickBot="1">
      <c r="A6" s="458" t="str">
        <f ca="1">CHOOSE(MOD(ROW(),3)+1,"",工资计算!I$2,OFFSET(工资计算!I$2,ROW()/3+1,))</f>
        <v/>
      </c>
      <c r="B6" s="459" t="str">
        <f ca="1">CHOOSE(MOD(ROW(),3)+1,"",工资计算!K$2,OFFSET(工资计算!K$2,ROW()/3+1,))</f>
        <v/>
      </c>
      <c r="C6" s="459" t="str">
        <f ca="1">CHOOSE(MOD(ROW(),3)+1,"",工资计算!L$2,OFFSET(工资计算!L$2,ROW()/3+1,))</f>
        <v/>
      </c>
      <c r="D6" s="459" t="str">
        <f ca="1">CHOOSE(MOD(ROW(),3)+1,"",工资计算!M$2,OFFSET(工资计算!M$2,ROW()/3+1,))</f>
        <v/>
      </c>
      <c r="E6" s="459" t="str">
        <f ca="1">CHOOSE(MOD(ROW(),3)+1,"",工资计算!N$2,OFFSET(工资计算!N$2,ROW()/3+1,))</f>
        <v/>
      </c>
      <c r="F6" s="459" t="str">
        <f ca="1">CHOOSE(MOD(ROW(),3)+1,"",工资计算!O$2,OFFSET(工资计算!O$2,ROW()/3+1,))</f>
        <v/>
      </c>
      <c r="G6" s="459" t="str">
        <f ca="1">CHOOSE(MOD(ROW(),3)+1,"",工资计算!P$2,OFFSET(工资计算!P$2,ROW()/3+1,))</f>
        <v/>
      </c>
      <c r="H6" s="459" t="str">
        <f ca="1">CHOOSE(MOD(ROW(),3)+1,"",工资计算!Q$2,OFFSET(工资计算!Q$2,ROW()/3+1,))</f>
        <v/>
      </c>
      <c r="I6" s="459" t="str">
        <f ca="1">CHOOSE(MOD(ROW(),3)+1,"",工资计算!R$2,OFFSET(工资计算!R$2,ROW()/3+1,))</f>
        <v/>
      </c>
      <c r="J6" s="459" t="str">
        <f ca="1">CHOOSE(MOD(ROW(),3)+1,"",工资计算!S$2,OFFSET(工资计算!S$2,ROW()/3+1,))</f>
        <v/>
      </c>
      <c r="K6" s="459" t="str">
        <f ca="1">CHOOSE(MOD(ROW(),3)+1,"",工资计算!T$2,OFFSET(工资计算!T$2,ROW()/3+1,))</f>
        <v/>
      </c>
      <c r="L6" s="459" t="str">
        <f ca="1">CHOOSE(MOD(ROW(),3)+1,"",工资计算!U$2,OFFSET(工资计算!U$2,ROW()/3+1,))</f>
        <v/>
      </c>
      <c r="M6" s="459" t="str">
        <f ca="1">CHOOSE(MOD(ROW(),3)+1,"",工资计算!V$2,OFFSET(工资计算!V$2,ROW()/3+1,))</f>
        <v/>
      </c>
      <c r="N6" s="459" t="str">
        <f ca="1">CHOOSE(MOD(ROW(),3)+1,"",工资计算!W$2,OFFSET(工资计算!W$2,ROW()/3+1,))</f>
        <v/>
      </c>
      <c r="O6" s="459" t="str">
        <f ca="1">CHOOSE(MOD(ROW(),3)+1,"",工资计算!#REF!,OFFSET(工资计算!#REF!,ROW()/3+1,))</f>
        <v/>
      </c>
      <c r="P6" s="459" t="str">
        <f ca="1">CHOOSE(MOD(ROW(),3)+1,"",工资计算!Y$2,OFFSET(工资计算!Y$2,ROW()/3+1,))</f>
        <v/>
      </c>
      <c r="Q6" s="459" t="str">
        <f ca="1">CHOOSE(MOD(ROW(),3)+1,"",工资计算!Z$2,OFFSET(工资计算!Z$2,ROW()/3+1,))</f>
        <v/>
      </c>
      <c r="R6" s="459" t="str">
        <f ca="1">CHOOSE(MOD(ROW(),3)+1,"",工资计算!AA$2,OFFSET(工资计算!AA$2,ROW()/3+1,))</f>
        <v/>
      </c>
      <c r="S6" s="459" t="str">
        <f ca="1">CHOOSE(MOD(ROW(),3)+1,"",工资计算!AB$2,OFFSET(工资计算!AB$2,ROW()/3+1,))</f>
        <v/>
      </c>
      <c r="T6" s="459" t="str">
        <f ca="1">CHOOSE(MOD(ROW(),3)+1,"",工资计算!AC$2,OFFSET(工资计算!AC$2,ROW()/3+1,))</f>
        <v/>
      </c>
      <c r="U6" s="459" t="str">
        <f ca="1">CHOOSE(MOD(ROW(),3)+1,"",工资计算!AI$2,OFFSET(工资计算!AI$2,ROW()/3+1,))</f>
        <v/>
      </c>
      <c r="V6" s="459" t="str">
        <f ca="1">CHOOSE(MOD(ROW(),3)+1,"",工资计算!AJ$2,OFFSET(工资计算!AJ$2,ROW()/3+1,))</f>
        <v/>
      </c>
      <c r="W6" s="459" t="str">
        <f ca="1">CHOOSE(MOD(ROW(),3)+1,"",工资计算!AM$2,OFFSET(工资计算!AM$2,ROW()/3+1,))</f>
        <v/>
      </c>
      <c r="X6" s="459"/>
      <c r="Y6" s="459"/>
      <c r="Z6" s="459"/>
      <c r="AA6" s="459"/>
    </row>
    <row r="7" spans="1:27" s="461" customFormat="1" ht="52.5" thickTop="1">
      <c r="A7" s="468" t="str">
        <f ca="1">CHOOSE(MOD(ROW(),3)+1,"",工资计算!I$2,OFFSET(工资计算!I$2,ROW()/3+1,))</f>
        <v>姓   名</v>
      </c>
      <c r="B7" s="469" t="str">
        <f ca="1">CHOOSE(MOD(ROW(),3)+1,"",工资计算!K$2,OFFSET(工资计算!K$2,ROW()/3+1,))</f>
        <v>基 本 工 资</v>
      </c>
      <c r="C7" s="469" t="str">
        <f ca="1">CHOOSE(MOD(ROW(),3)+1,"",工资计算!L$2,OFFSET(工资计算!L$2,ROW()/3+1,))</f>
        <v>岗 位     工 资</v>
      </c>
      <c r="D7" s="469" t="str">
        <f ca="1">CHOOSE(MOD(ROW(),3)+1,"",工资计算!M$2,OFFSET(工资计算!M$2,ROW()/3+1,))</f>
        <v>交通补贴</v>
      </c>
      <c r="E7" s="469" t="str">
        <f ca="1">CHOOSE(MOD(ROW(),3)+1,"",工资计算!N$2,OFFSET(工资计算!N$2,ROW()/3+1,))</f>
        <v>公务补贴</v>
      </c>
      <c r="F7" s="469" t="str">
        <f ca="1">CHOOSE(MOD(ROW(),3)+1,"",工资计算!O$2,OFFSET(工资计算!O$2,ROW()/3+1,))</f>
        <v>电话补贴</v>
      </c>
      <c r="G7" s="469" t="str">
        <f ca="1">CHOOSE(MOD(ROW(),3)+1,"",工资计算!P$2,OFFSET(工资计算!P$2,ROW()/3+1,))</f>
        <v>车补</v>
      </c>
      <c r="H7" s="469" t="str">
        <f ca="1">CHOOSE(MOD(ROW(),3)+1,"",工资计算!Q$2,OFFSET(工资计算!Q$2,ROW()/3+1,))</f>
        <v>午餐补贴</v>
      </c>
      <c r="I7" s="469" t="str">
        <f ca="1">CHOOSE(MOD(ROW(),3)+1,"",工资计算!R$2,OFFSET(工资计算!R$2,ROW()/3+1,))</f>
        <v>司龄补</v>
      </c>
      <c r="J7" s="469" t="str">
        <f ca="1">CHOOSE(MOD(ROW(),3)+1,"",工资计算!S$2,OFFSET(工资计算!S$2,ROW()/3+1,))</f>
        <v>加 班      天 数</v>
      </c>
      <c r="K7" s="469" t="str">
        <f ca="1">CHOOSE(MOD(ROW(),3)+1,"",工资计算!T$2,OFFSET(工资计算!T$2,ROW()/3+1,))</f>
        <v>加  班         工  资</v>
      </c>
      <c r="L7" s="469" t="str">
        <f ca="1">CHOOSE(MOD(ROW(),3)+1,"",工资计算!U$2,OFFSET(工资计算!U$2,ROW()/3+1,))</f>
        <v>奖    金</v>
      </c>
      <c r="M7" s="469" t="str">
        <f ca="1">CHOOSE(MOD(ROW(),3)+1,"",工资计算!V$2,OFFSET(工资计算!V$2,ROW()/3+1,))</f>
        <v>缺 勤  天 数</v>
      </c>
      <c r="N7" s="469" t="str">
        <f ca="1">CHOOSE(MOD(ROW(),3)+1,"",工资计算!W$2,OFFSET(工资计算!W$2,ROW()/3+1,))</f>
        <v>考勤应扣</v>
      </c>
      <c r="O7" s="469" t="e">
        <f ca="1">CHOOSE(MOD(ROW(),3)+1,"",工资计算!#REF!,OFFSET(工资计算!#REF!,ROW()/3+1,))</f>
        <v>#REF!</v>
      </c>
      <c r="P7" s="469" t="str">
        <f ca="1">CHOOSE(MOD(ROW(),3)+1,"",工资计算!Y$2,OFFSET(工资计算!Y$2,ROW()/3+1,))</f>
        <v>缴金基数</v>
      </c>
      <c r="Q7" s="469" t="str">
        <f ca="1">CHOOSE(MOD(ROW(),3)+1,"",工资计算!Z$2,OFFSET(工资计算!Z$2,ROW()/3+1,))</f>
        <v>养    老      保    险</v>
      </c>
      <c r="R7" s="469" t="str">
        <f ca="1">CHOOSE(MOD(ROW(),3)+1,"",工资计算!AA$2,OFFSET(工资计算!AA$2,ROW()/3+1,))</f>
        <v>失   业      保   险</v>
      </c>
      <c r="S7" s="469" t="str">
        <f ca="1">CHOOSE(MOD(ROW(),3)+1,"",工资计算!AB$2,OFFSET(工资计算!AB$2,ROW()/3+1,))</f>
        <v>医   疗      保   险</v>
      </c>
      <c r="T7" s="469" t="str">
        <f ca="1">CHOOSE(MOD(ROW(),3)+1,"",工资计算!AC$2,OFFSET(工资计算!AC$2,ROW()/3+1,))</f>
        <v>住    房    公积金</v>
      </c>
      <c r="U7" s="469" t="str">
        <f ca="1">CHOOSE(MOD(ROW(),3)+1,"",工资计算!AI$2,OFFSET(工资计算!AI$2,ROW()/3+1,))</f>
        <v>住    房    公积金   (公司)</v>
      </c>
      <c r="V7" s="469" t="str">
        <f ca="1">CHOOSE(MOD(ROW(),3)+1,"",工资计算!AJ$2,OFFSET(工资计算!AJ$2,ROW()/3+1,))</f>
        <v>代扣个人     所 得 税</v>
      </c>
      <c r="W7" s="470" t="str">
        <f ca="1">CHOOSE(MOD(ROW(),3)+1,"",工资计算!AM$2,OFFSET(工资计算!AM$2,ROW()/3+1,))</f>
        <v>实 发 工 资</v>
      </c>
      <c r="X7" s="474"/>
      <c r="Y7" s="474"/>
      <c r="Z7" s="474"/>
      <c r="AA7" s="474"/>
    </row>
    <row r="8" spans="1:27" ht="13.5" thickBot="1">
      <c r="A8" s="471">
        <f ca="1">CHOOSE(MOD(ROW(),3)+1,"",工资计算!I$2,OFFSET(工资计算!I$2,ROW()/3+1,))</f>
        <v>0</v>
      </c>
      <c r="B8" s="472">
        <f ca="1">CHOOSE(MOD(ROW(),3)+1,"",工资计算!K$2,OFFSET(工资计算!K$2,ROW()/3+1,))</f>
        <v>0</v>
      </c>
      <c r="C8" s="472">
        <f ca="1">CHOOSE(MOD(ROW(),3)+1,"",工资计算!L$2,OFFSET(工资计算!L$2,ROW()/3+1,))</f>
        <v>0</v>
      </c>
      <c r="D8" s="472">
        <f ca="1">CHOOSE(MOD(ROW(),3)+1,"",工资计算!M$2,OFFSET(工资计算!M$2,ROW()/3+1,))</f>
        <v>0</v>
      </c>
      <c r="E8" s="472">
        <f ca="1">CHOOSE(MOD(ROW(),3)+1,"",工资计算!N$2,OFFSET(工资计算!N$2,ROW()/3+1,))</f>
        <v>0</v>
      </c>
      <c r="F8" s="472">
        <f ca="1">CHOOSE(MOD(ROW(),3)+1,"",工资计算!O$2,OFFSET(工资计算!O$2,ROW()/3+1,))</f>
        <v>0</v>
      </c>
      <c r="G8" s="472">
        <f ca="1">CHOOSE(MOD(ROW(),3)+1,"",工资计算!P$2,OFFSET(工资计算!P$2,ROW()/3+1,))</f>
        <v>0</v>
      </c>
      <c r="H8" s="472">
        <f ca="1">CHOOSE(MOD(ROW(),3)+1,"",工资计算!Q$2,OFFSET(工资计算!Q$2,ROW()/3+1,))</f>
        <v>0</v>
      </c>
      <c r="I8" s="472">
        <f ca="1">CHOOSE(MOD(ROW(),3)+1,"",工资计算!R$2,OFFSET(工资计算!R$2,ROW()/3+1,))</f>
        <v>0</v>
      </c>
      <c r="J8" s="472">
        <f ca="1">CHOOSE(MOD(ROW(),3)+1,"",工资计算!S$2,OFFSET(工资计算!S$2,ROW()/3+1,))</f>
        <v>0</v>
      </c>
      <c r="K8" s="472">
        <f ca="1">CHOOSE(MOD(ROW(),3)+1,"",工资计算!T$2,OFFSET(工资计算!T$2,ROW()/3+1,))</f>
        <v>0</v>
      </c>
      <c r="L8" s="472">
        <f ca="1">CHOOSE(MOD(ROW(),3)+1,"",工资计算!U$2,OFFSET(工资计算!U$2,ROW()/3+1,))</f>
        <v>0</v>
      </c>
      <c r="M8" s="472">
        <f ca="1">CHOOSE(MOD(ROW(),3)+1,"",工资计算!V$2,OFFSET(工资计算!V$2,ROW()/3+1,))</f>
        <v>0</v>
      </c>
      <c r="N8" s="472">
        <f ca="1">CHOOSE(MOD(ROW(),3)+1,"",工资计算!W$2,OFFSET(工资计算!W$2,ROW()/3+1,))</f>
        <v>0</v>
      </c>
      <c r="O8" s="472" t="e">
        <f ca="1">CHOOSE(MOD(ROW(),3)+1,"",工资计算!#REF!,OFFSET(工资计算!#REF!,ROW()/3+1,))</f>
        <v>#REF!</v>
      </c>
      <c r="P8" s="472">
        <f ca="1">CHOOSE(MOD(ROW(),3)+1,"",工资计算!Y$2,OFFSET(工资计算!Y$2,ROW()/3+1,))</f>
        <v>0</v>
      </c>
      <c r="Q8" s="472">
        <f ca="1">CHOOSE(MOD(ROW(),3)+1,"",工资计算!Z$2,OFFSET(工资计算!Z$2,ROW()/3+1,))</f>
        <v>0</v>
      </c>
      <c r="R8" s="472">
        <f ca="1">CHOOSE(MOD(ROW(),3)+1,"",工资计算!AA$2,OFFSET(工资计算!AA$2,ROW()/3+1,))</f>
        <v>0</v>
      </c>
      <c r="S8" s="472">
        <f ca="1">CHOOSE(MOD(ROW(),3)+1,"",工资计算!AB$2,OFFSET(工资计算!AB$2,ROW()/3+1,))</f>
        <v>0</v>
      </c>
      <c r="T8" s="472">
        <f ca="1">CHOOSE(MOD(ROW(),3)+1,"",工资计算!AC$2,OFFSET(工资计算!AC$2,ROW()/3+1,))</f>
        <v>0</v>
      </c>
      <c r="U8" s="472">
        <f ca="1">CHOOSE(MOD(ROW(),3)+1,"",工资计算!AI$2,OFFSET(工资计算!AI$2,ROW()/3+1,))</f>
        <v>0</v>
      </c>
      <c r="V8" s="472">
        <f ca="1">CHOOSE(MOD(ROW(),3)+1,"",工资计算!AJ$2,OFFSET(工资计算!AJ$2,ROW()/3+1,))</f>
        <v>0</v>
      </c>
      <c r="W8" s="473">
        <f ca="1">CHOOSE(MOD(ROW(),3)+1,"",工资计算!AM$2,OFFSET(工资计算!AM$2,ROW()/3+1,))</f>
        <v>0</v>
      </c>
      <c r="X8" s="459"/>
      <c r="Y8" s="459"/>
      <c r="Z8" s="459"/>
      <c r="AA8" s="459"/>
    </row>
    <row r="9" spans="1:27" ht="14" thickTop="1" thickBot="1">
      <c r="A9" s="458" t="str">
        <f ca="1">CHOOSE(MOD(ROW(),3)+1,"",工资计算!I$2,OFFSET(工资计算!I$2,ROW()/3+1,))</f>
        <v/>
      </c>
      <c r="B9" s="459" t="str">
        <f ca="1">CHOOSE(MOD(ROW(),3)+1,"",工资计算!K$2,OFFSET(工资计算!K$2,ROW()/3+1,))</f>
        <v/>
      </c>
      <c r="C9" s="459" t="str">
        <f ca="1">CHOOSE(MOD(ROW(),3)+1,"",工资计算!L$2,OFFSET(工资计算!L$2,ROW()/3+1,))</f>
        <v/>
      </c>
      <c r="D9" s="459" t="str">
        <f ca="1">CHOOSE(MOD(ROW(),3)+1,"",工资计算!M$2,OFFSET(工资计算!M$2,ROW()/3+1,))</f>
        <v/>
      </c>
      <c r="E9" s="459" t="str">
        <f ca="1">CHOOSE(MOD(ROW(),3)+1,"",工资计算!N$2,OFFSET(工资计算!N$2,ROW()/3+1,))</f>
        <v/>
      </c>
      <c r="F9" s="459" t="str">
        <f ca="1">CHOOSE(MOD(ROW(),3)+1,"",工资计算!O$2,OFFSET(工资计算!O$2,ROW()/3+1,))</f>
        <v/>
      </c>
      <c r="G9" s="459" t="str">
        <f ca="1">CHOOSE(MOD(ROW(),3)+1,"",工资计算!P$2,OFFSET(工资计算!P$2,ROW()/3+1,))</f>
        <v/>
      </c>
      <c r="H9" s="459" t="str">
        <f ca="1">CHOOSE(MOD(ROW(),3)+1,"",工资计算!Q$2,OFFSET(工资计算!Q$2,ROW()/3+1,))</f>
        <v/>
      </c>
      <c r="I9" s="459" t="str">
        <f ca="1">CHOOSE(MOD(ROW(),3)+1,"",工资计算!R$2,OFFSET(工资计算!R$2,ROW()/3+1,))</f>
        <v/>
      </c>
      <c r="J9" s="459" t="str">
        <f ca="1">CHOOSE(MOD(ROW(),3)+1,"",工资计算!S$2,OFFSET(工资计算!S$2,ROW()/3+1,))</f>
        <v/>
      </c>
      <c r="K9" s="459" t="str">
        <f ca="1">CHOOSE(MOD(ROW(),3)+1,"",工资计算!T$2,OFFSET(工资计算!T$2,ROW()/3+1,))</f>
        <v/>
      </c>
      <c r="L9" s="459" t="str">
        <f ca="1">CHOOSE(MOD(ROW(),3)+1,"",工资计算!U$2,OFFSET(工资计算!U$2,ROW()/3+1,))</f>
        <v/>
      </c>
      <c r="M9" s="459" t="str">
        <f ca="1">CHOOSE(MOD(ROW(),3)+1,"",工资计算!V$2,OFFSET(工资计算!V$2,ROW()/3+1,))</f>
        <v/>
      </c>
      <c r="N9" s="459" t="str">
        <f ca="1">CHOOSE(MOD(ROW(),3)+1,"",工资计算!W$2,OFFSET(工资计算!W$2,ROW()/3+1,))</f>
        <v/>
      </c>
      <c r="O9" s="459" t="str">
        <f ca="1">CHOOSE(MOD(ROW(),3)+1,"",工资计算!#REF!,OFFSET(工资计算!#REF!,ROW()/3+1,))</f>
        <v/>
      </c>
      <c r="P9" s="459" t="str">
        <f ca="1">CHOOSE(MOD(ROW(),3)+1,"",工资计算!Y$2,OFFSET(工资计算!Y$2,ROW()/3+1,))</f>
        <v/>
      </c>
      <c r="Q9" s="459" t="str">
        <f ca="1">CHOOSE(MOD(ROW(),3)+1,"",工资计算!Z$2,OFFSET(工资计算!Z$2,ROW()/3+1,))</f>
        <v/>
      </c>
      <c r="R9" s="459" t="str">
        <f ca="1">CHOOSE(MOD(ROW(),3)+1,"",工资计算!AA$2,OFFSET(工资计算!AA$2,ROW()/3+1,))</f>
        <v/>
      </c>
      <c r="S9" s="459" t="str">
        <f ca="1">CHOOSE(MOD(ROW(),3)+1,"",工资计算!AB$2,OFFSET(工资计算!AB$2,ROW()/3+1,))</f>
        <v/>
      </c>
      <c r="T9" s="459" t="str">
        <f ca="1">CHOOSE(MOD(ROW(),3)+1,"",工资计算!AC$2,OFFSET(工资计算!AC$2,ROW()/3+1,))</f>
        <v/>
      </c>
      <c r="U9" s="459" t="str">
        <f ca="1">CHOOSE(MOD(ROW(),3)+1,"",工资计算!AI$2,OFFSET(工资计算!AI$2,ROW()/3+1,))</f>
        <v/>
      </c>
      <c r="V9" s="459" t="str">
        <f ca="1">CHOOSE(MOD(ROW(),3)+1,"",工资计算!AJ$2,OFFSET(工资计算!AJ$2,ROW()/3+1,))</f>
        <v/>
      </c>
      <c r="W9" s="459" t="str">
        <f ca="1">CHOOSE(MOD(ROW(),3)+1,"",工资计算!AM$2,OFFSET(工资计算!AM$2,ROW()/3+1,))</f>
        <v/>
      </c>
      <c r="X9" s="459"/>
      <c r="Y9" s="459"/>
      <c r="Z9" s="459"/>
      <c r="AA9" s="459"/>
    </row>
    <row r="10" spans="1:27" s="461" customFormat="1" ht="52.5" thickTop="1">
      <c r="A10" s="468" t="str">
        <f ca="1">CHOOSE(MOD(ROW(),3)+1,"",工资计算!I$2,OFFSET(工资计算!I$2,ROW()/3+1,))</f>
        <v>姓   名</v>
      </c>
      <c r="B10" s="469" t="str">
        <f ca="1">CHOOSE(MOD(ROW(),3)+1,"",工资计算!K$2,OFFSET(工资计算!K$2,ROW()/3+1,))</f>
        <v>基 本 工 资</v>
      </c>
      <c r="C10" s="469" t="str">
        <f ca="1">CHOOSE(MOD(ROW(),3)+1,"",工资计算!L$2,OFFSET(工资计算!L$2,ROW()/3+1,))</f>
        <v>岗 位     工 资</v>
      </c>
      <c r="D10" s="469" t="str">
        <f ca="1">CHOOSE(MOD(ROW(),3)+1,"",工资计算!M$2,OFFSET(工资计算!M$2,ROW()/3+1,))</f>
        <v>交通补贴</v>
      </c>
      <c r="E10" s="469" t="str">
        <f ca="1">CHOOSE(MOD(ROW(),3)+1,"",工资计算!N$2,OFFSET(工资计算!N$2,ROW()/3+1,))</f>
        <v>公务补贴</v>
      </c>
      <c r="F10" s="469" t="str">
        <f ca="1">CHOOSE(MOD(ROW(),3)+1,"",工资计算!O$2,OFFSET(工资计算!O$2,ROW()/3+1,))</f>
        <v>电话补贴</v>
      </c>
      <c r="G10" s="469" t="str">
        <f ca="1">CHOOSE(MOD(ROW(),3)+1,"",工资计算!P$2,OFFSET(工资计算!P$2,ROW()/3+1,))</f>
        <v>车补</v>
      </c>
      <c r="H10" s="469" t="str">
        <f ca="1">CHOOSE(MOD(ROW(),3)+1,"",工资计算!Q$2,OFFSET(工资计算!Q$2,ROW()/3+1,))</f>
        <v>午餐补贴</v>
      </c>
      <c r="I10" s="469" t="str">
        <f ca="1">CHOOSE(MOD(ROW(),3)+1,"",工资计算!R$2,OFFSET(工资计算!R$2,ROW()/3+1,))</f>
        <v>司龄补</v>
      </c>
      <c r="J10" s="469" t="str">
        <f ca="1">CHOOSE(MOD(ROW(),3)+1,"",工资计算!S$2,OFFSET(工资计算!S$2,ROW()/3+1,))</f>
        <v>加 班      天 数</v>
      </c>
      <c r="K10" s="469" t="str">
        <f ca="1">CHOOSE(MOD(ROW(),3)+1,"",工资计算!T$2,OFFSET(工资计算!T$2,ROW()/3+1,))</f>
        <v>加  班         工  资</v>
      </c>
      <c r="L10" s="469" t="str">
        <f ca="1">CHOOSE(MOD(ROW(),3)+1,"",工资计算!U$2,OFFSET(工资计算!U$2,ROW()/3+1,))</f>
        <v>奖    金</v>
      </c>
      <c r="M10" s="469" t="str">
        <f ca="1">CHOOSE(MOD(ROW(),3)+1,"",工资计算!V$2,OFFSET(工资计算!V$2,ROW()/3+1,))</f>
        <v>缺 勤  天 数</v>
      </c>
      <c r="N10" s="469" t="str">
        <f ca="1">CHOOSE(MOD(ROW(),3)+1,"",工资计算!W$2,OFFSET(工资计算!W$2,ROW()/3+1,))</f>
        <v>考勤应扣</v>
      </c>
      <c r="O10" s="469" t="e">
        <f ca="1">CHOOSE(MOD(ROW(),3)+1,"",工资计算!#REF!,OFFSET(工资计算!#REF!,ROW()/3+1,))</f>
        <v>#REF!</v>
      </c>
      <c r="P10" s="469" t="str">
        <f ca="1">CHOOSE(MOD(ROW(),3)+1,"",工资计算!Y$2,OFFSET(工资计算!Y$2,ROW()/3+1,))</f>
        <v>缴金基数</v>
      </c>
      <c r="Q10" s="469" t="str">
        <f ca="1">CHOOSE(MOD(ROW(),3)+1,"",工资计算!Z$2,OFFSET(工资计算!Z$2,ROW()/3+1,))</f>
        <v>养    老      保    险</v>
      </c>
      <c r="R10" s="469" t="str">
        <f ca="1">CHOOSE(MOD(ROW(),3)+1,"",工资计算!AA$2,OFFSET(工资计算!AA$2,ROW()/3+1,))</f>
        <v>失   业      保   险</v>
      </c>
      <c r="S10" s="469" t="str">
        <f ca="1">CHOOSE(MOD(ROW(),3)+1,"",工资计算!AB$2,OFFSET(工资计算!AB$2,ROW()/3+1,))</f>
        <v>医   疗      保   险</v>
      </c>
      <c r="T10" s="469" t="str">
        <f ca="1">CHOOSE(MOD(ROW(),3)+1,"",工资计算!AC$2,OFFSET(工资计算!AC$2,ROW()/3+1,))</f>
        <v>住    房    公积金</v>
      </c>
      <c r="U10" s="469" t="str">
        <f ca="1">CHOOSE(MOD(ROW(),3)+1,"",工资计算!AI$2,OFFSET(工资计算!AI$2,ROW()/3+1,))</f>
        <v>住    房    公积金   (公司)</v>
      </c>
      <c r="V10" s="469" t="str">
        <f ca="1">CHOOSE(MOD(ROW(),3)+1,"",工资计算!AJ$2,OFFSET(工资计算!AJ$2,ROW()/3+1,))</f>
        <v>代扣个人     所 得 税</v>
      </c>
      <c r="W10" s="470" t="str">
        <f ca="1">CHOOSE(MOD(ROW(),3)+1,"",工资计算!AM$2,OFFSET(工资计算!AM$2,ROW()/3+1,))</f>
        <v>实 发 工 资</v>
      </c>
      <c r="X10" s="474"/>
      <c r="Y10" s="474"/>
      <c r="Z10" s="474"/>
      <c r="AA10" s="474"/>
    </row>
    <row r="11" spans="1:27" ht="13.5" thickBot="1">
      <c r="A11" s="471">
        <f ca="1">CHOOSE(MOD(ROW(),3)+1,"",工资计算!I$2,OFFSET(工资计算!I$2,ROW()/3+1,))</f>
        <v>0</v>
      </c>
      <c r="B11" s="472">
        <f ca="1">CHOOSE(MOD(ROW(),3)+1,"",工资计算!K$2,OFFSET(工资计算!K$2,ROW()/3+1,))</f>
        <v>0</v>
      </c>
      <c r="C11" s="472">
        <f ca="1">CHOOSE(MOD(ROW(),3)+1,"",工资计算!L$2,OFFSET(工资计算!L$2,ROW()/3+1,))</f>
        <v>0</v>
      </c>
      <c r="D11" s="472">
        <f ca="1">CHOOSE(MOD(ROW(),3)+1,"",工资计算!M$2,OFFSET(工资计算!M$2,ROW()/3+1,))</f>
        <v>0</v>
      </c>
      <c r="E11" s="472">
        <f ca="1">CHOOSE(MOD(ROW(),3)+1,"",工资计算!N$2,OFFSET(工资计算!N$2,ROW()/3+1,))</f>
        <v>0</v>
      </c>
      <c r="F11" s="472">
        <f ca="1">CHOOSE(MOD(ROW(),3)+1,"",工资计算!O$2,OFFSET(工资计算!O$2,ROW()/3+1,))</f>
        <v>0</v>
      </c>
      <c r="G11" s="472">
        <f ca="1">CHOOSE(MOD(ROW(),3)+1,"",工资计算!P$2,OFFSET(工资计算!P$2,ROW()/3+1,))</f>
        <v>0</v>
      </c>
      <c r="H11" s="472">
        <f ca="1">CHOOSE(MOD(ROW(),3)+1,"",工资计算!Q$2,OFFSET(工资计算!Q$2,ROW()/3+1,))</f>
        <v>0</v>
      </c>
      <c r="I11" s="472">
        <f ca="1">CHOOSE(MOD(ROW(),3)+1,"",工资计算!R$2,OFFSET(工资计算!R$2,ROW()/3+1,))</f>
        <v>0</v>
      </c>
      <c r="J11" s="472">
        <f ca="1">CHOOSE(MOD(ROW(),3)+1,"",工资计算!S$2,OFFSET(工资计算!S$2,ROW()/3+1,))</f>
        <v>0</v>
      </c>
      <c r="K11" s="472">
        <f ca="1">CHOOSE(MOD(ROW(),3)+1,"",工资计算!T$2,OFFSET(工资计算!T$2,ROW()/3+1,))</f>
        <v>0</v>
      </c>
      <c r="L11" s="472">
        <f ca="1">CHOOSE(MOD(ROW(),3)+1,"",工资计算!U$2,OFFSET(工资计算!U$2,ROW()/3+1,))</f>
        <v>0</v>
      </c>
      <c r="M11" s="472">
        <f ca="1">CHOOSE(MOD(ROW(),3)+1,"",工资计算!V$2,OFFSET(工资计算!V$2,ROW()/3+1,))</f>
        <v>0</v>
      </c>
      <c r="N11" s="472">
        <f ca="1">CHOOSE(MOD(ROW(),3)+1,"",工资计算!W$2,OFFSET(工资计算!W$2,ROW()/3+1,))</f>
        <v>0</v>
      </c>
      <c r="O11" s="472" t="e">
        <f ca="1">CHOOSE(MOD(ROW(),3)+1,"",工资计算!#REF!,OFFSET(工资计算!#REF!,ROW()/3+1,))</f>
        <v>#REF!</v>
      </c>
      <c r="P11" s="472">
        <f ca="1">CHOOSE(MOD(ROW(),3)+1,"",工资计算!Y$2,OFFSET(工资计算!Y$2,ROW()/3+1,))</f>
        <v>0</v>
      </c>
      <c r="Q11" s="472">
        <f ca="1">CHOOSE(MOD(ROW(),3)+1,"",工资计算!Z$2,OFFSET(工资计算!Z$2,ROW()/3+1,))</f>
        <v>0</v>
      </c>
      <c r="R11" s="472">
        <f ca="1">CHOOSE(MOD(ROW(),3)+1,"",工资计算!AA$2,OFFSET(工资计算!AA$2,ROW()/3+1,))</f>
        <v>0</v>
      </c>
      <c r="S11" s="472">
        <f ca="1">CHOOSE(MOD(ROW(),3)+1,"",工资计算!AB$2,OFFSET(工资计算!AB$2,ROW()/3+1,))</f>
        <v>0</v>
      </c>
      <c r="T11" s="472">
        <f ca="1">CHOOSE(MOD(ROW(),3)+1,"",工资计算!AC$2,OFFSET(工资计算!AC$2,ROW()/3+1,))</f>
        <v>0</v>
      </c>
      <c r="U11" s="472">
        <f ca="1">CHOOSE(MOD(ROW(),3)+1,"",工资计算!AI$2,OFFSET(工资计算!AI$2,ROW()/3+1,))</f>
        <v>0</v>
      </c>
      <c r="V11" s="472">
        <f ca="1">CHOOSE(MOD(ROW(),3)+1,"",工资计算!AJ$2,OFFSET(工资计算!AJ$2,ROW()/3+1,))</f>
        <v>0</v>
      </c>
      <c r="W11" s="473">
        <f ca="1">CHOOSE(MOD(ROW(),3)+1,"",工资计算!AM$2,OFFSET(工资计算!AM$2,ROW()/3+1,))</f>
        <v>0</v>
      </c>
      <c r="X11" s="459"/>
      <c r="Y11" s="459"/>
      <c r="Z11" s="459"/>
      <c r="AA11" s="459"/>
    </row>
    <row r="12" spans="1:27" ht="14" thickTop="1" thickBot="1">
      <c r="A12" s="458" t="str">
        <f ca="1">CHOOSE(MOD(ROW(),3)+1,"",工资计算!I$2,OFFSET(工资计算!I$2,ROW()/3+1,))</f>
        <v/>
      </c>
      <c r="B12" s="459" t="str">
        <f ca="1">CHOOSE(MOD(ROW(),3)+1,"",工资计算!K$2,OFFSET(工资计算!K$2,ROW()/3+1,))</f>
        <v/>
      </c>
      <c r="C12" s="459" t="str">
        <f ca="1">CHOOSE(MOD(ROW(),3)+1,"",工资计算!L$2,OFFSET(工资计算!L$2,ROW()/3+1,))</f>
        <v/>
      </c>
      <c r="D12" s="459" t="str">
        <f ca="1">CHOOSE(MOD(ROW(),3)+1,"",工资计算!M$2,OFFSET(工资计算!M$2,ROW()/3+1,))</f>
        <v/>
      </c>
      <c r="E12" s="459" t="str">
        <f ca="1">CHOOSE(MOD(ROW(),3)+1,"",工资计算!N$2,OFFSET(工资计算!N$2,ROW()/3+1,))</f>
        <v/>
      </c>
      <c r="F12" s="459" t="str">
        <f ca="1">CHOOSE(MOD(ROW(),3)+1,"",工资计算!O$2,OFFSET(工资计算!O$2,ROW()/3+1,))</f>
        <v/>
      </c>
      <c r="G12" s="459" t="str">
        <f ca="1">CHOOSE(MOD(ROW(),3)+1,"",工资计算!P$2,OFFSET(工资计算!P$2,ROW()/3+1,))</f>
        <v/>
      </c>
      <c r="H12" s="459" t="str">
        <f ca="1">CHOOSE(MOD(ROW(),3)+1,"",工资计算!Q$2,OFFSET(工资计算!Q$2,ROW()/3+1,))</f>
        <v/>
      </c>
      <c r="I12" s="459" t="str">
        <f ca="1">CHOOSE(MOD(ROW(),3)+1,"",工资计算!R$2,OFFSET(工资计算!R$2,ROW()/3+1,))</f>
        <v/>
      </c>
      <c r="J12" s="459" t="str">
        <f ca="1">CHOOSE(MOD(ROW(),3)+1,"",工资计算!S$2,OFFSET(工资计算!S$2,ROW()/3+1,))</f>
        <v/>
      </c>
      <c r="K12" s="459" t="str">
        <f ca="1">CHOOSE(MOD(ROW(),3)+1,"",工资计算!T$2,OFFSET(工资计算!T$2,ROW()/3+1,))</f>
        <v/>
      </c>
      <c r="L12" s="459" t="str">
        <f ca="1">CHOOSE(MOD(ROW(),3)+1,"",工资计算!U$2,OFFSET(工资计算!U$2,ROW()/3+1,))</f>
        <v/>
      </c>
      <c r="M12" s="459" t="str">
        <f ca="1">CHOOSE(MOD(ROW(),3)+1,"",工资计算!V$2,OFFSET(工资计算!V$2,ROW()/3+1,))</f>
        <v/>
      </c>
      <c r="N12" s="459" t="str">
        <f ca="1">CHOOSE(MOD(ROW(),3)+1,"",工资计算!W$2,OFFSET(工资计算!W$2,ROW()/3+1,))</f>
        <v/>
      </c>
      <c r="O12" s="459" t="str">
        <f ca="1">CHOOSE(MOD(ROW(),3)+1,"",工资计算!#REF!,OFFSET(工资计算!#REF!,ROW()/3+1,))</f>
        <v/>
      </c>
      <c r="P12" s="459" t="str">
        <f ca="1">CHOOSE(MOD(ROW(),3)+1,"",工资计算!Y$2,OFFSET(工资计算!Y$2,ROW()/3+1,))</f>
        <v/>
      </c>
      <c r="Q12" s="459" t="str">
        <f ca="1">CHOOSE(MOD(ROW(),3)+1,"",工资计算!Z$2,OFFSET(工资计算!Z$2,ROW()/3+1,))</f>
        <v/>
      </c>
      <c r="R12" s="459" t="str">
        <f ca="1">CHOOSE(MOD(ROW(),3)+1,"",工资计算!AA$2,OFFSET(工资计算!AA$2,ROW()/3+1,))</f>
        <v/>
      </c>
      <c r="S12" s="459" t="str">
        <f ca="1">CHOOSE(MOD(ROW(),3)+1,"",工资计算!AB$2,OFFSET(工资计算!AB$2,ROW()/3+1,))</f>
        <v/>
      </c>
      <c r="T12" s="459" t="str">
        <f ca="1">CHOOSE(MOD(ROW(),3)+1,"",工资计算!AC$2,OFFSET(工资计算!AC$2,ROW()/3+1,))</f>
        <v/>
      </c>
      <c r="U12" s="459" t="str">
        <f ca="1">CHOOSE(MOD(ROW(),3)+1,"",工资计算!AI$2,OFFSET(工资计算!AI$2,ROW()/3+1,))</f>
        <v/>
      </c>
      <c r="V12" s="459" t="str">
        <f ca="1">CHOOSE(MOD(ROW(),3)+1,"",工资计算!AJ$2,OFFSET(工资计算!AJ$2,ROW()/3+1,))</f>
        <v/>
      </c>
      <c r="W12" s="459" t="str">
        <f ca="1">CHOOSE(MOD(ROW(),3)+1,"",工资计算!AM$2,OFFSET(工资计算!AM$2,ROW()/3+1,))</f>
        <v/>
      </c>
      <c r="X12" s="459"/>
      <c r="Y12" s="459"/>
      <c r="Z12" s="459"/>
      <c r="AA12" s="459"/>
    </row>
    <row r="13" spans="1:27" s="461" customFormat="1" ht="52.5" thickTop="1">
      <c r="A13" s="468" t="str">
        <f ca="1">CHOOSE(MOD(ROW(),3)+1,"",工资计算!I$2,OFFSET(工资计算!I$2,ROW()/3+1,))</f>
        <v>姓   名</v>
      </c>
      <c r="B13" s="469" t="str">
        <f ca="1">CHOOSE(MOD(ROW(),3)+1,"",工资计算!K$2,OFFSET(工资计算!K$2,ROW()/3+1,))</f>
        <v>基 本 工 资</v>
      </c>
      <c r="C13" s="469" t="str">
        <f ca="1">CHOOSE(MOD(ROW(),3)+1,"",工资计算!L$2,OFFSET(工资计算!L$2,ROW()/3+1,))</f>
        <v>岗 位     工 资</v>
      </c>
      <c r="D13" s="469" t="str">
        <f ca="1">CHOOSE(MOD(ROW(),3)+1,"",工资计算!M$2,OFFSET(工资计算!M$2,ROW()/3+1,))</f>
        <v>交通补贴</v>
      </c>
      <c r="E13" s="469" t="str">
        <f ca="1">CHOOSE(MOD(ROW(),3)+1,"",工资计算!N$2,OFFSET(工资计算!N$2,ROW()/3+1,))</f>
        <v>公务补贴</v>
      </c>
      <c r="F13" s="469" t="str">
        <f ca="1">CHOOSE(MOD(ROW(),3)+1,"",工资计算!O$2,OFFSET(工资计算!O$2,ROW()/3+1,))</f>
        <v>电话补贴</v>
      </c>
      <c r="G13" s="469" t="str">
        <f ca="1">CHOOSE(MOD(ROW(),3)+1,"",工资计算!P$2,OFFSET(工资计算!P$2,ROW()/3+1,))</f>
        <v>车补</v>
      </c>
      <c r="H13" s="469" t="str">
        <f ca="1">CHOOSE(MOD(ROW(),3)+1,"",工资计算!Q$2,OFFSET(工资计算!Q$2,ROW()/3+1,))</f>
        <v>午餐补贴</v>
      </c>
      <c r="I13" s="469" t="str">
        <f ca="1">CHOOSE(MOD(ROW(),3)+1,"",工资计算!R$2,OFFSET(工资计算!R$2,ROW()/3+1,))</f>
        <v>司龄补</v>
      </c>
      <c r="J13" s="469" t="str">
        <f ca="1">CHOOSE(MOD(ROW(),3)+1,"",工资计算!S$2,OFFSET(工资计算!S$2,ROW()/3+1,))</f>
        <v>加 班      天 数</v>
      </c>
      <c r="K13" s="469" t="str">
        <f ca="1">CHOOSE(MOD(ROW(),3)+1,"",工资计算!T$2,OFFSET(工资计算!T$2,ROW()/3+1,))</f>
        <v>加  班         工  资</v>
      </c>
      <c r="L13" s="469" t="str">
        <f ca="1">CHOOSE(MOD(ROW(),3)+1,"",工资计算!U$2,OFFSET(工资计算!U$2,ROW()/3+1,))</f>
        <v>奖    金</v>
      </c>
      <c r="M13" s="469" t="str">
        <f ca="1">CHOOSE(MOD(ROW(),3)+1,"",工资计算!V$2,OFFSET(工资计算!V$2,ROW()/3+1,))</f>
        <v>缺 勤  天 数</v>
      </c>
      <c r="N13" s="469" t="str">
        <f ca="1">CHOOSE(MOD(ROW(),3)+1,"",工资计算!W$2,OFFSET(工资计算!W$2,ROW()/3+1,))</f>
        <v>考勤应扣</v>
      </c>
      <c r="O13" s="469" t="e">
        <f ca="1">CHOOSE(MOD(ROW(),3)+1,"",工资计算!#REF!,OFFSET(工资计算!#REF!,ROW()/3+1,))</f>
        <v>#REF!</v>
      </c>
      <c r="P13" s="469" t="str">
        <f ca="1">CHOOSE(MOD(ROW(),3)+1,"",工资计算!Y$2,OFFSET(工资计算!Y$2,ROW()/3+1,))</f>
        <v>缴金基数</v>
      </c>
      <c r="Q13" s="469" t="str">
        <f ca="1">CHOOSE(MOD(ROW(),3)+1,"",工资计算!Z$2,OFFSET(工资计算!Z$2,ROW()/3+1,))</f>
        <v>养    老      保    险</v>
      </c>
      <c r="R13" s="469" t="str">
        <f ca="1">CHOOSE(MOD(ROW(),3)+1,"",工资计算!AA$2,OFFSET(工资计算!AA$2,ROW()/3+1,))</f>
        <v>失   业      保   险</v>
      </c>
      <c r="S13" s="469" t="str">
        <f ca="1">CHOOSE(MOD(ROW(),3)+1,"",工资计算!AB$2,OFFSET(工资计算!AB$2,ROW()/3+1,))</f>
        <v>医   疗      保   险</v>
      </c>
      <c r="T13" s="469" t="str">
        <f ca="1">CHOOSE(MOD(ROW(),3)+1,"",工资计算!AC$2,OFFSET(工资计算!AC$2,ROW()/3+1,))</f>
        <v>住    房    公积金</v>
      </c>
      <c r="U13" s="469" t="str">
        <f ca="1">CHOOSE(MOD(ROW(),3)+1,"",工资计算!AI$2,OFFSET(工资计算!AI$2,ROW()/3+1,))</f>
        <v>住    房    公积金   (公司)</v>
      </c>
      <c r="V13" s="469" t="str">
        <f ca="1">CHOOSE(MOD(ROW(),3)+1,"",工资计算!AJ$2,OFFSET(工资计算!AJ$2,ROW()/3+1,))</f>
        <v>代扣个人     所 得 税</v>
      </c>
      <c r="W13" s="470" t="str">
        <f ca="1">CHOOSE(MOD(ROW(),3)+1,"",工资计算!AM$2,OFFSET(工资计算!AM$2,ROW()/3+1,))</f>
        <v>实 发 工 资</v>
      </c>
      <c r="X13" s="474"/>
      <c r="Y13" s="474"/>
      <c r="Z13" s="474"/>
      <c r="AA13" s="474"/>
    </row>
    <row r="14" spans="1:27" ht="13.5" thickBot="1">
      <c r="A14" s="471">
        <f ca="1">CHOOSE(MOD(ROW(),3)+1,"",工资计算!I$2,OFFSET(工资计算!I$2,ROW()/3+1,))</f>
        <v>0</v>
      </c>
      <c r="B14" s="472">
        <f ca="1">CHOOSE(MOD(ROW(),3)+1,"",工资计算!K$2,OFFSET(工资计算!K$2,ROW()/3+1,))</f>
        <v>0</v>
      </c>
      <c r="C14" s="472">
        <f ca="1">CHOOSE(MOD(ROW(),3)+1,"",工资计算!L$2,OFFSET(工资计算!L$2,ROW()/3+1,))</f>
        <v>0</v>
      </c>
      <c r="D14" s="472">
        <f ca="1">CHOOSE(MOD(ROW(),3)+1,"",工资计算!M$2,OFFSET(工资计算!M$2,ROW()/3+1,))</f>
        <v>0</v>
      </c>
      <c r="E14" s="472">
        <f ca="1">CHOOSE(MOD(ROW(),3)+1,"",工资计算!N$2,OFFSET(工资计算!N$2,ROW()/3+1,))</f>
        <v>0</v>
      </c>
      <c r="F14" s="472">
        <f ca="1">CHOOSE(MOD(ROW(),3)+1,"",工资计算!O$2,OFFSET(工资计算!O$2,ROW()/3+1,))</f>
        <v>0</v>
      </c>
      <c r="G14" s="472">
        <f ca="1">CHOOSE(MOD(ROW(),3)+1,"",工资计算!P$2,OFFSET(工资计算!P$2,ROW()/3+1,))</f>
        <v>0</v>
      </c>
      <c r="H14" s="472">
        <f ca="1">CHOOSE(MOD(ROW(),3)+1,"",工资计算!Q$2,OFFSET(工资计算!Q$2,ROW()/3+1,))</f>
        <v>0</v>
      </c>
      <c r="I14" s="472">
        <f ca="1">CHOOSE(MOD(ROW(),3)+1,"",工资计算!R$2,OFFSET(工资计算!R$2,ROW()/3+1,))</f>
        <v>0</v>
      </c>
      <c r="J14" s="472">
        <f ca="1">CHOOSE(MOD(ROW(),3)+1,"",工资计算!S$2,OFFSET(工资计算!S$2,ROW()/3+1,))</f>
        <v>0</v>
      </c>
      <c r="K14" s="472">
        <f ca="1">CHOOSE(MOD(ROW(),3)+1,"",工资计算!T$2,OFFSET(工资计算!T$2,ROW()/3+1,))</f>
        <v>0</v>
      </c>
      <c r="L14" s="472">
        <f ca="1">CHOOSE(MOD(ROW(),3)+1,"",工资计算!U$2,OFFSET(工资计算!U$2,ROW()/3+1,))</f>
        <v>0</v>
      </c>
      <c r="M14" s="472">
        <f ca="1">CHOOSE(MOD(ROW(),3)+1,"",工资计算!V$2,OFFSET(工资计算!V$2,ROW()/3+1,))</f>
        <v>0</v>
      </c>
      <c r="N14" s="472">
        <f ca="1">CHOOSE(MOD(ROW(),3)+1,"",工资计算!W$2,OFFSET(工资计算!W$2,ROW()/3+1,))</f>
        <v>0</v>
      </c>
      <c r="O14" s="472" t="e">
        <f ca="1">CHOOSE(MOD(ROW(),3)+1,"",工资计算!#REF!,OFFSET(工资计算!#REF!,ROW()/3+1,))</f>
        <v>#REF!</v>
      </c>
      <c r="P14" s="472">
        <f ca="1">CHOOSE(MOD(ROW(),3)+1,"",工资计算!Y$2,OFFSET(工资计算!Y$2,ROW()/3+1,))</f>
        <v>0</v>
      </c>
      <c r="Q14" s="472">
        <f ca="1">CHOOSE(MOD(ROW(),3)+1,"",工资计算!Z$2,OFFSET(工资计算!Z$2,ROW()/3+1,))</f>
        <v>0</v>
      </c>
      <c r="R14" s="472">
        <f ca="1">CHOOSE(MOD(ROW(),3)+1,"",工资计算!AA$2,OFFSET(工资计算!AA$2,ROW()/3+1,))</f>
        <v>0</v>
      </c>
      <c r="S14" s="472">
        <f ca="1">CHOOSE(MOD(ROW(),3)+1,"",工资计算!AB$2,OFFSET(工资计算!AB$2,ROW()/3+1,))</f>
        <v>0</v>
      </c>
      <c r="T14" s="472">
        <f ca="1">CHOOSE(MOD(ROW(),3)+1,"",工资计算!AC$2,OFFSET(工资计算!AC$2,ROW()/3+1,))</f>
        <v>0</v>
      </c>
      <c r="U14" s="472">
        <f ca="1">CHOOSE(MOD(ROW(),3)+1,"",工资计算!AI$2,OFFSET(工资计算!AI$2,ROW()/3+1,))</f>
        <v>0</v>
      </c>
      <c r="V14" s="472">
        <f ca="1">CHOOSE(MOD(ROW(),3)+1,"",工资计算!AJ$2,OFFSET(工资计算!AJ$2,ROW()/3+1,))</f>
        <v>0</v>
      </c>
      <c r="W14" s="473">
        <f ca="1">CHOOSE(MOD(ROW(),3)+1,"",工资计算!AM$2,OFFSET(工资计算!AM$2,ROW()/3+1,))</f>
        <v>0</v>
      </c>
      <c r="X14" s="459"/>
      <c r="Y14" s="459"/>
      <c r="Z14" s="459"/>
      <c r="AA14" s="459"/>
    </row>
    <row r="15" spans="1:27" ht="14" thickTop="1" thickBot="1">
      <c r="A15" s="458" t="str">
        <f ca="1">CHOOSE(MOD(ROW(),3)+1,"",工资计算!I$2,OFFSET(工资计算!I$2,ROW()/3+1,))</f>
        <v/>
      </c>
      <c r="B15" s="459" t="str">
        <f ca="1">CHOOSE(MOD(ROW(),3)+1,"",工资计算!K$2,OFFSET(工资计算!K$2,ROW()/3+1,))</f>
        <v/>
      </c>
      <c r="C15" s="459" t="str">
        <f ca="1">CHOOSE(MOD(ROW(),3)+1,"",工资计算!L$2,OFFSET(工资计算!L$2,ROW()/3+1,))</f>
        <v/>
      </c>
      <c r="D15" s="459" t="str">
        <f ca="1">CHOOSE(MOD(ROW(),3)+1,"",工资计算!M$2,OFFSET(工资计算!M$2,ROW()/3+1,))</f>
        <v/>
      </c>
      <c r="E15" s="459" t="str">
        <f ca="1">CHOOSE(MOD(ROW(),3)+1,"",工资计算!N$2,OFFSET(工资计算!N$2,ROW()/3+1,))</f>
        <v/>
      </c>
      <c r="F15" s="459" t="str">
        <f ca="1">CHOOSE(MOD(ROW(),3)+1,"",工资计算!O$2,OFFSET(工资计算!O$2,ROW()/3+1,))</f>
        <v/>
      </c>
      <c r="G15" s="459" t="str">
        <f ca="1">CHOOSE(MOD(ROW(),3)+1,"",工资计算!P$2,OFFSET(工资计算!P$2,ROW()/3+1,))</f>
        <v/>
      </c>
      <c r="H15" s="459" t="str">
        <f ca="1">CHOOSE(MOD(ROW(),3)+1,"",工资计算!Q$2,OFFSET(工资计算!Q$2,ROW()/3+1,))</f>
        <v/>
      </c>
      <c r="I15" s="459" t="str">
        <f ca="1">CHOOSE(MOD(ROW(),3)+1,"",工资计算!R$2,OFFSET(工资计算!R$2,ROW()/3+1,))</f>
        <v/>
      </c>
      <c r="J15" s="459" t="str">
        <f ca="1">CHOOSE(MOD(ROW(),3)+1,"",工资计算!S$2,OFFSET(工资计算!S$2,ROW()/3+1,))</f>
        <v/>
      </c>
      <c r="K15" s="459" t="str">
        <f ca="1">CHOOSE(MOD(ROW(),3)+1,"",工资计算!T$2,OFFSET(工资计算!T$2,ROW()/3+1,))</f>
        <v/>
      </c>
      <c r="L15" s="459" t="str">
        <f ca="1">CHOOSE(MOD(ROW(),3)+1,"",工资计算!U$2,OFFSET(工资计算!U$2,ROW()/3+1,))</f>
        <v/>
      </c>
      <c r="M15" s="459" t="str">
        <f ca="1">CHOOSE(MOD(ROW(),3)+1,"",工资计算!V$2,OFFSET(工资计算!V$2,ROW()/3+1,))</f>
        <v/>
      </c>
      <c r="N15" s="459" t="str">
        <f ca="1">CHOOSE(MOD(ROW(),3)+1,"",工资计算!W$2,OFFSET(工资计算!W$2,ROW()/3+1,))</f>
        <v/>
      </c>
      <c r="O15" s="459" t="str">
        <f ca="1">CHOOSE(MOD(ROW(),3)+1,"",工资计算!#REF!,OFFSET(工资计算!#REF!,ROW()/3+1,))</f>
        <v/>
      </c>
      <c r="P15" s="459" t="str">
        <f ca="1">CHOOSE(MOD(ROW(),3)+1,"",工资计算!Y$2,OFFSET(工资计算!Y$2,ROW()/3+1,))</f>
        <v/>
      </c>
      <c r="Q15" s="459" t="str">
        <f ca="1">CHOOSE(MOD(ROW(),3)+1,"",工资计算!Z$2,OFFSET(工资计算!Z$2,ROW()/3+1,))</f>
        <v/>
      </c>
      <c r="R15" s="459" t="str">
        <f ca="1">CHOOSE(MOD(ROW(),3)+1,"",工资计算!AA$2,OFFSET(工资计算!AA$2,ROW()/3+1,))</f>
        <v/>
      </c>
      <c r="S15" s="459" t="str">
        <f ca="1">CHOOSE(MOD(ROW(),3)+1,"",工资计算!AB$2,OFFSET(工资计算!AB$2,ROW()/3+1,))</f>
        <v/>
      </c>
      <c r="T15" s="459" t="str">
        <f ca="1">CHOOSE(MOD(ROW(),3)+1,"",工资计算!AC$2,OFFSET(工资计算!AC$2,ROW()/3+1,))</f>
        <v/>
      </c>
      <c r="U15" s="459" t="str">
        <f ca="1">CHOOSE(MOD(ROW(),3)+1,"",工资计算!AI$2,OFFSET(工资计算!AI$2,ROW()/3+1,))</f>
        <v/>
      </c>
      <c r="V15" s="459" t="str">
        <f ca="1">CHOOSE(MOD(ROW(),3)+1,"",工资计算!AJ$2,OFFSET(工资计算!AJ$2,ROW()/3+1,))</f>
        <v/>
      </c>
      <c r="W15" s="459" t="str">
        <f ca="1">CHOOSE(MOD(ROW(),3)+1,"",工资计算!AM$2,OFFSET(工资计算!AM$2,ROW()/3+1,))</f>
        <v/>
      </c>
      <c r="X15" s="459"/>
      <c r="Y15" s="459"/>
      <c r="Z15" s="459"/>
      <c r="AA15" s="459"/>
    </row>
    <row r="16" spans="1:27" s="461" customFormat="1" ht="52.5" thickTop="1">
      <c r="A16" s="468" t="str">
        <f ca="1">CHOOSE(MOD(ROW(),3)+1,"",工资计算!I$2,OFFSET(工资计算!I$2,ROW()/3+1,))</f>
        <v>姓   名</v>
      </c>
      <c r="B16" s="469" t="str">
        <f ca="1">CHOOSE(MOD(ROW(),3)+1,"",工资计算!K$2,OFFSET(工资计算!K$2,ROW()/3+1,))</f>
        <v>基 本 工 资</v>
      </c>
      <c r="C16" s="469" t="str">
        <f ca="1">CHOOSE(MOD(ROW(),3)+1,"",工资计算!L$2,OFFSET(工资计算!L$2,ROW()/3+1,))</f>
        <v>岗 位     工 资</v>
      </c>
      <c r="D16" s="469" t="str">
        <f ca="1">CHOOSE(MOD(ROW(),3)+1,"",工资计算!M$2,OFFSET(工资计算!M$2,ROW()/3+1,))</f>
        <v>交通补贴</v>
      </c>
      <c r="E16" s="469" t="str">
        <f ca="1">CHOOSE(MOD(ROW(),3)+1,"",工资计算!N$2,OFFSET(工资计算!N$2,ROW()/3+1,))</f>
        <v>公务补贴</v>
      </c>
      <c r="F16" s="469" t="str">
        <f ca="1">CHOOSE(MOD(ROW(),3)+1,"",工资计算!O$2,OFFSET(工资计算!O$2,ROW()/3+1,))</f>
        <v>电话补贴</v>
      </c>
      <c r="G16" s="469" t="str">
        <f ca="1">CHOOSE(MOD(ROW(),3)+1,"",工资计算!P$2,OFFSET(工资计算!P$2,ROW()/3+1,))</f>
        <v>车补</v>
      </c>
      <c r="H16" s="469" t="str">
        <f ca="1">CHOOSE(MOD(ROW(),3)+1,"",工资计算!Q$2,OFFSET(工资计算!Q$2,ROW()/3+1,))</f>
        <v>午餐补贴</v>
      </c>
      <c r="I16" s="469" t="str">
        <f ca="1">CHOOSE(MOD(ROW(),3)+1,"",工资计算!R$2,OFFSET(工资计算!R$2,ROW()/3+1,))</f>
        <v>司龄补</v>
      </c>
      <c r="J16" s="469" t="str">
        <f ca="1">CHOOSE(MOD(ROW(),3)+1,"",工资计算!S$2,OFFSET(工资计算!S$2,ROW()/3+1,))</f>
        <v>加 班      天 数</v>
      </c>
      <c r="K16" s="469" t="str">
        <f ca="1">CHOOSE(MOD(ROW(),3)+1,"",工资计算!T$2,OFFSET(工资计算!T$2,ROW()/3+1,))</f>
        <v>加  班         工  资</v>
      </c>
      <c r="L16" s="469" t="str">
        <f ca="1">CHOOSE(MOD(ROW(),3)+1,"",工资计算!U$2,OFFSET(工资计算!U$2,ROW()/3+1,))</f>
        <v>奖    金</v>
      </c>
      <c r="M16" s="469" t="str">
        <f ca="1">CHOOSE(MOD(ROW(),3)+1,"",工资计算!V$2,OFFSET(工资计算!V$2,ROW()/3+1,))</f>
        <v>缺 勤  天 数</v>
      </c>
      <c r="N16" s="469" t="str">
        <f ca="1">CHOOSE(MOD(ROW(),3)+1,"",工资计算!W$2,OFFSET(工资计算!W$2,ROW()/3+1,))</f>
        <v>考勤应扣</v>
      </c>
      <c r="O16" s="469" t="e">
        <f ca="1">CHOOSE(MOD(ROW(),3)+1,"",工资计算!#REF!,OFFSET(工资计算!#REF!,ROW()/3+1,))</f>
        <v>#REF!</v>
      </c>
      <c r="P16" s="469" t="str">
        <f ca="1">CHOOSE(MOD(ROW(),3)+1,"",工资计算!Y$2,OFFSET(工资计算!Y$2,ROW()/3+1,))</f>
        <v>缴金基数</v>
      </c>
      <c r="Q16" s="469" t="str">
        <f ca="1">CHOOSE(MOD(ROW(),3)+1,"",工资计算!Z$2,OFFSET(工资计算!Z$2,ROW()/3+1,))</f>
        <v>养    老      保    险</v>
      </c>
      <c r="R16" s="469" t="str">
        <f ca="1">CHOOSE(MOD(ROW(),3)+1,"",工资计算!AA$2,OFFSET(工资计算!AA$2,ROW()/3+1,))</f>
        <v>失   业      保   险</v>
      </c>
      <c r="S16" s="469" t="str">
        <f ca="1">CHOOSE(MOD(ROW(),3)+1,"",工资计算!AB$2,OFFSET(工资计算!AB$2,ROW()/3+1,))</f>
        <v>医   疗      保   险</v>
      </c>
      <c r="T16" s="469" t="str">
        <f ca="1">CHOOSE(MOD(ROW(),3)+1,"",工资计算!AC$2,OFFSET(工资计算!AC$2,ROW()/3+1,))</f>
        <v>住    房    公积金</v>
      </c>
      <c r="U16" s="469" t="str">
        <f ca="1">CHOOSE(MOD(ROW(),3)+1,"",工资计算!AI$2,OFFSET(工资计算!AI$2,ROW()/3+1,))</f>
        <v>住    房    公积金   (公司)</v>
      </c>
      <c r="V16" s="469" t="str">
        <f ca="1">CHOOSE(MOD(ROW(),3)+1,"",工资计算!AJ$2,OFFSET(工资计算!AJ$2,ROW()/3+1,))</f>
        <v>代扣个人     所 得 税</v>
      </c>
      <c r="W16" s="470" t="str">
        <f ca="1">CHOOSE(MOD(ROW(),3)+1,"",工资计算!AM$2,OFFSET(工资计算!AM$2,ROW()/3+1,))</f>
        <v>实 发 工 资</v>
      </c>
      <c r="X16" s="474"/>
      <c r="Y16" s="474"/>
      <c r="Z16" s="474"/>
      <c r="AA16" s="474"/>
    </row>
    <row r="17" spans="1:27" ht="13.5" thickBot="1">
      <c r="A17" s="471">
        <f ca="1">CHOOSE(MOD(ROW(),3)+1,"",工资计算!I$2,OFFSET(工资计算!I$2,ROW()/3+1,))</f>
        <v>0</v>
      </c>
      <c r="B17" s="472">
        <f ca="1">CHOOSE(MOD(ROW(),3)+1,"",工资计算!K$2,OFFSET(工资计算!K$2,ROW()/3+1,))</f>
        <v>0</v>
      </c>
      <c r="C17" s="472">
        <f ca="1">CHOOSE(MOD(ROW(),3)+1,"",工资计算!L$2,OFFSET(工资计算!L$2,ROW()/3+1,))</f>
        <v>0</v>
      </c>
      <c r="D17" s="472">
        <f ca="1">CHOOSE(MOD(ROW(),3)+1,"",工资计算!M$2,OFFSET(工资计算!M$2,ROW()/3+1,))</f>
        <v>0</v>
      </c>
      <c r="E17" s="472">
        <f ca="1">CHOOSE(MOD(ROW(),3)+1,"",工资计算!N$2,OFFSET(工资计算!N$2,ROW()/3+1,))</f>
        <v>0</v>
      </c>
      <c r="F17" s="472">
        <f ca="1">CHOOSE(MOD(ROW(),3)+1,"",工资计算!O$2,OFFSET(工资计算!O$2,ROW()/3+1,))</f>
        <v>0</v>
      </c>
      <c r="G17" s="472">
        <f ca="1">CHOOSE(MOD(ROW(),3)+1,"",工资计算!P$2,OFFSET(工资计算!P$2,ROW()/3+1,))</f>
        <v>0</v>
      </c>
      <c r="H17" s="472">
        <f ca="1">CHOOSE(MOD(ROW(),3)+1,"",工资计算!Q$2,OFFSET(工资计算!Q$2,ROW()/3+1,))</f>
        <v>0</v>
      </c>
      <c r="I17" s="472">
        <f ca="1">CHOOSE(MOD(ROW(),3)+1,"",工资计算!R$2,OFFSET(工资计算!R$2,ROW()/3+1,))</f>
        <v>0</v>
      </c>
      <c r="J17" s="472">
        <f ca="1">CHOOSE(MOD(ROW(),3)+1,"",工资计算!S$2,OFFSET(工资计算!S$2,ROW()/3+1,))</f>
        <v>0</v>
      </c>
      <c r="K17" s="472">
        <f ca="1">CHOOSE(MOD(ROW(),3)+1,"",工资计算!T$2,OFFSET(工资计算!T$2,ROW()/3+1,))</f>
        <v>0</v>
      </c>
      <c r="L17" s="472">
        <f ca="1">CHOOSE(MOD(ROW(),3)+1,"",工资计算!U$2,OFFSET(工资计算!U$2,ROW()/3+1,))</f>
        <v>0</v>
      </c>
      <c r="M17" s="472">
        <f ca="1">CHOOSE(MOD(ROW(),3)+1,"",工资计算!V$2,OFFSET(工资计算!V$2,ROW()/3+1,))</f>
        <v>0</v>
      </c>
      <c r="N17" s="472">
        <f ca="1">CHOOSE(MOD(ROW(),3)+1,"",工资计算!W$2,OFFSET(工资计算!W$2,ROW()/3+1,))</f>
        <v>0</v>
      </c>
      <c r="O17" s="472" t="e">
        <f ca="1">CHOOSE(MOD(ROW(),3)+1,"",工资计算!#REF!,OFFSET(工资计算!#REF!,ROW()/3+1,))</f>
        <v>#REF!</v>
      </c>
      <c r="P17" s="472">
        <f ca="1">CHOOSE(MOD(ROW(),3)+1,"",工资计算!Y$2,OFFSET(工资计算!Y$2,ROW()/3+1,))</f>
        <v>0</v>
      </c>
      <c r="Q17" s="472">
        <f ca="1">CHOOSE(MOD(ROW(),3)+1,"",工资计算!Z$2,OFFSET(工资计算!Z$2,ROW()/3+1,))</f>
        <v>0</v>
      </c>
      <c r="R17" s="472">
        <f ca="1">CHOOSE(MOD(ROW(),3)+1,"",工资计算!AA$2,OFFSET(工资计算!AA$2,ROW()/3+1,))</f>
        <v>0</v>
      </c>
      <c r="S17" s="472">
        <f ca="1">CHOOSE(MOD(ROW(),3)+1,"",工资计算!AB$2,OFFSET(工资计算!AB$2,ROW()/3+1,))</f>
        <v>0</v>
      </c>
      <c r="T17" s="472">
        <f ca="1">CHOOSE(MOD(ROW(),3)+1,"",工资计算!AC$2,OFFSET(工资计算!AC$2,ROW()/3+1,))</f>
        <v>0</v>
      </c>
      <c r="U17" s="472">
        <f ca="1">CHOOSE(MOD(ROW(),3)+1,"",工资计算!AI$2,OFFSET(工资计算!AI$2,ROW()/3+1,))</f>
        <v>0</v>
      </c>
      <c r="V17" s="472">
        <f ca="1">CHOOSE(MOD(ROW(),3)+1,"",工资计算!AJ$2,OFFSET(工资计算!AJ$2,ROW()/3+1,))</f>
        <v>0</v>
      </c>
      <c r="W17" s="473">
        <f ca="1">CHOOSE(MOD(ROW(),3)+1,"",工资计算!AM$2,OFFSET(工资计算!AM$2,ROW()/3+1,))</f>
        <v>0</v>
      </c>
      <c r="X17" s="459"/>
      <c r="Y17" s="459"/>
      <c r="Z17" s="459"/>
      <c r="AA17" s="459"/>
    </row>
    <row r="18" spans="1:27" ht="14" thickTop="1" thickBot="1">
      <c r="A18" s="458" t="str">
        <f ca="1">CHOOSE(MOD(ROW(),3)+1,"",工资计算!I$2,OFFSET(工资计算!I$2,ROW()/3+1,))</f>
        <v/>
      </c>
      <c r="B18" s="459" t="str">
        <f ca="1">CHOOSE(MOD(ROW(),3)+1,"",工资计算!K$2,OFFSET(工资计算!K$2,ROW()/3+1,))</f>
        <v/>
      </c>
      <c r="C18" s="459" t="str">
        <f ca="1">CHOOSE(MOD(ROW(),3)+1,"",工资计算!L$2,OFFSET(工资计算!L$2,ROW()/3+1,))</f>
        <v/>
      </c>
      <c r="D18" s="459" t="str">
        <f ca="1">CHOOSE(MOD(ROW(),3)+1,"",工资计算!M$2,OFFSET(工资计算!M$2,ROW()/3+1,))</f>
        <v/>
      </c>
      <c r="E18" s="459" t="str">
        <f ca="1">CHOOSE(MOD(ROW(),3)+1,"",工资计算!N$2,OFFSET(工资计算!N$2,ROW()/3+1,))</f>
        <v/>
      </c>
      <c r="F18" s="459" t="str">
        <f ca="1">CHOOSE(MOD(ROW(),3)+1,"",工资计算!O$2,OFFSET(工资计算!O$2,ROW()/3+1,))</f>
        <v/>
      </c>
      <c r="G18" s="459" t="str">
        <f ca="1">CHOOSE(MOD(ROW(),3)+1,"",工资计算!P$2,OFFSET(工资计算!P$2,ROW()/3+1,))</f>
        <v/>
      </c>
      <c r="H18" s="459" t="str">
        <f ca="1">CHOOSE(MOD(ROW(),3)+1,"",工资计算!Q$2,OFFSET(工资计算!Q$2,ROW()/3+1,))</f>
        <v/>
      </c>
      <c r="I18" s="459" t="str">
        <f ca="1">CHOOSE(MOD(ROW(),3)+1,"",工资计算!R$2,OFFSET(工资计算!R$2,ROW()/3+1,))</f>
        <v/>
      </c>
      <c r="J18" s="459" t="str">
        <f ca="1">CHOOSE(MOD(ROW(),3)+1,"",工资计算!S$2,OFFSET(工资计算!S$2,ROW()/3+1,))</f>
        <v/>
      </c>
      <c r="K18" s="459" t="str">
        <f ca="1">CHOOSE(MOD(ROW(),3)+1,"",工资计算!T$2,OFFSET(工资计算!T$2,ROW()/3+1,))</f>
        <v/>
      </c>
      <c r="L18" s="459" t="str">
        <f ca="1">CHOOSE(MOD(ROW(),3)+1,"",工资计算!U$2,OFFSET(工资计算!U$2,ROW()/3+1,))</f>
        <v/>
      </c>
      <c r="M18" s="459" t="str">
        <f ca="1">CHOOSE(MOD(ROW(),3)+1,"",工资计算!V$2,OFFSET(工资计算!V$2,ROW()/3+1,))</f>
        <v/>
      </c>
      <c r="N18" s="459" t="str">
        <f ca="1">CHOOSE(MOD(ROW(),3)+1,"",工资计算!W$2,OFFSET(工资计算!W$2,ROW()/3+1,))</f>
        <v/>
      </c>
      <c r="O18" s="459" t="str">
        <f ca="1">CHOOSE(MOD(ROW(),3)+1,"",工资计算!#REF!,OFFSET(工资计算!#REF!,ROW()/3+1,))</f>
        <v/>
      </c>
      <c r="P18" s="459" t="str">
        <f ca="1">CHOOSE(MOD(ROW(),3)+1,"",工资计算!Y$2,OFFSET(工资计算!Y$2,ROW()/3+1,))</f>
        <v/>
      </c>
      <c r="Q18" s="459" t="str">
        <f ca="1">CHOOSE(MOD(ROW(),3)+1,"",工资计算!Z$2,OFFSET(工资计算!Z$2,ROW()/3+1,))</f>
        <v/>
      </c>
      <c r="R18" s="459" t="str">
        <f ca="1">CHOOSE(MOD(ROW(),3)+1,"",工资计算!AA$2,OFFSET(工资计算!AA$2,ROW()/3+1,))</f>
        <v/>
      </c>
      <c r="S18" s="459" t="str">
        <f ca="1">CHOOSE(MOD(ROW(),3)+1,"",工资计算!AB$2,OFFSET(工资计算!AB$2,ROW()/3+1,))</f>
        <v/>
      </c>
      <c r="T18" s="459" t="str">
        <f ca="1">CHOOSE(MOD(ROW(),3)+1,"",工资计算!AC$2,OFFSET(工资计算!AC$2,ROW()/3+1,))</f>
        <v/>
      </c>
      <c r="U18" s="459" t="str">
        <f ca="1">CHOOSE(MOD(ROW(),3)+1,"",工资计算!AI$2,OFFSET(工资计算!AI$2,ROW()/3+1,))</f>
        <v/>
      </c>
      <c r="V18" s="459" t="str">
        <f ca="1">CHOOSE(MOD(ROW(),3)+1,"",工资计算!AJ$2,OFFSET(工资计算!AJ$2,ROW()/3+1,))</f>
        <v/>
      </c>
      <c r="W18" s="459" t="str">
        <f ca="1">CHOOSE(MOD(ROW(),3)+1,"",工资计算!AM$2,OFFSET(工资计算!AM$2,ROW()/3+1,))</f>
        <v/>
      </c>
      <c r="X18" s="459"/>
      <c r="Y18" s="459"/>
      <c r="Z18" s="459"/>
      <c r="AA18" s="459"/>
    </row>
    <row r="19" spans="1:27" s="461" customFormat="1" ht="52.5" thickTop="1">
      <c r="A19" s="468" t="str">
        <f ca="1">CHOOSE(MOD(ROW(),3)+1,"",工资计算!I$2,OFFSET(工资计算!I$2,ROW()/3+1,))</f>
        <v>姓   名</v>
      </c>
      <c r="B19" s="469" t="str">
        <f ca="1">CHOOSE(MOD(ROW(),3)+1,"",工资计算!K$2,OFFSET(工资计算!K$2,ROW()/3+1,))</f>
        <v>基 本 工 资</v>
      </c>
      <c r="C19" s="469" t="str">
        <f ca="1">CHOOSE(MOD(ROW(),3)+1,"",工资计算!L$2,OFFSET(工资计算!L$2,ROW()/3+1,))</f>
        <v>岗 位     工 资</v>
      </c>
      <c r="D19" s="469" t="str">
        <f ca="1">CHOOSE(MOD(ROW(),3)+1,"",工资计算!M$2,OFFSET(工资计算!M$2,ROW()/3+1,))</f>
        <v>交通补贴</v>
      </c>
      <c r="E19" s="469" t="str">
        <f ca="1">CHOOSE(MOD(ROW(),3)+1,"",工资计算!N$2,OFFSET(工资计算!N$2,ROW()/3+1,))</f>
        <v>公务补贴</v>
      </c>
      <c r="F19" s="469" t="str">
        <f ca="1">CHOOSE(MOD(ROW(),3)+1,"",工资计算!O$2,OFFSET(工资计算!O$2,ROW()/3+1,))</f>
        <v>电话补贴</v>
      </c>
      <c r="G19" s="469" t="str">
        <f ca="1">CHOOSE(MOD(ROW(),3)+1,"",工资计算!P$2,OFFSET(工资计算!P$2,ROW()/3+1,))</f>
        <v>车补</v>
      </c>
      <c r="H19" s="469" t="str">
        <f ca="1">CHOOSE(MOD(ROW(),3)+1,"",工资计算!Q$2,OFFSET(工资计算!Q$2,ROW()/3+1,))</f>
        <v>午餐补贴</v>
      </c>
      <c r="I19" s="469" t="str">
        <f ca="1">CHOOSE(MOD(ROW(),3)+1,"",工资计算!R$2,OFFSET(工资计算!R$2,ROW()/3+1,))</f>
        <v>司龄补</v>
      </c>
      <c r="J19" s="469" t="str">
        <f ca="1">CHOOSE(MOD(ROW(),3)+1,"",工资计算!S$2,OFFSET(工资计算!S$2,ROW()/3+1,))</f>
        <v>加 班      天 数</v>
      </c>
      <c r="K19" s="469" t="str">
        <f ca="1">CHOOSE(MOD(ROW(),3)+1,"",工资计算!T$2,OFFSET(工资计算!T$2,ROW()/3+1,))</f>
        <v>加  班         工  资</v>
      </c>
      <c r="L19" s="469" t="str">
        <f ca="1">CHOOSE(MOD(ROW(),3)+1,"",工资计算!U$2,OFFSET(工资计算!U$2,ROW()/3+1,))</f>
        <v>奖    金</v>
      </c>
      <c r="M19" s="469" t="str">
        <f ca="1">CHOOSE(MOD(ROW(),3)+1,"",工资计算!V$2,OFFSET(工资计算!V$2,ROW()/3+1,))</f>
        <v>缺 勤  天 数</v>
      </c>
      <c r="N19" s="469" t="str">
        <f ca="1">CHOOSE(MOD(ROW(),3)+1,"",工资计算!W$2,OFFSET(工资计算!W$2,ROW()/3+1,))</f>
        <v>考勤应扣</v>
      </c>
      <c r="O19" s="469" t="e">
        <f ca="1">CHOOSE(MOD(ROW(),3)+1,"",工资计算!#REF!,OFFSET(工资计算!#REF!,ROW()/3+1,))</f>
        <v>#REF!</v>
      </c>
      <c r="P19" s="469" t="str">
        <f ca="1">CHOOSE(MOD(ROW(),3)+1,"",工资计算!Y$2,OFFSET(工资计算!Y$2,ROW()/3+1,))</f>
        <v>缴金基数</v>
      </c>
      <c r="Q19" s="469" t="str">
        <f ca="1">CHOOSE(MOD(ROW(),3)+1,"",工资计算!Z$2,OFFSET(工资计算!Z$2,ROW()/3+1,))</f>
        <v>养    老      保    险</v>
      </c>
      <c r="R19" s="469" t="str">
        <f ca="1">CHOOSE(MOD(ROW(),3)+1,"",工资计算!AA$2,OFFSET(工资计算!AA$2,ROW()/3+1,))</f>
        <v>失   业      保   险</v>
      </c>
      <c r="S19" s="469" t="str">
        <f ca="1">CHOOSE(MOD(ROW(),3)+1,"",工资计算!AB$2,OFFSET(工资计算!AB$2,ROW()/3+1,))</f>
        <v>医   疗      保   险</v>
      </c>
      <c r="T19" s="469" t="str">
        <f ca="1">CHOOSE(MOD(ROW(),3)+1,"",工资计算!AC$2,OFFSET(工资计算!AC$2,ROW()/3+1,))</f>
        <v>住    房    公积金</v>
      </c>
      <c r="U19" s="469" t="str">
        <f ca="1">CHOOSE(MOD(ROW(),3)+1,"",工资计算!AI$2,OFFSET(工资计算!AI$2,ROW()/3+1,))</f>
        <v>住    房    公积金   (公司)</v>
      </c>
      <c r="V19" s="469" t="str">
        <f ca="1">CHOOSE(MOD(ROW(),3)+1,"",工资计算!AJ$2,OFFSET(工资计算!AJ$2,ROW()/3+1,))</f>
        <v>代扣个人     所 得 税</v>
      </c>
      <c r="W19" s="470" t="str">
        <f ca="1">CHOOSE(MOD(ROW(),3)+1,"",工资计算!AM$2,OFFSET(工资计算!AM$2,ROW()/3+1,))</f>
        <v>实 发 工 资</v>
      </c>
      <c r="X19" s="474"/>
      <c r="Y19" s="474"/>
      <c r="Z19" s="474"/>
      <c r="AA19" s="474"/>
    </row>
    <row r="20" spans="1:27" ht="13.5" thickBot="1">
      <c r="A20" s="471">
        <f ca="1">CHOOSE(MOD(ROW(),3)+1,"",工资计算!I$2,OFFSET(工资计算!I$2,ROW()/3+1,))</f>
        <v>0</v>
      </c>
      <c r="B20" s="472">
        <f ca="1">CHOOSE(MOD(ROW(),3)+1,"",工资计算!K$2,OFFSET(工资计算!K$2,ROW()/3+1,))</f>
        <v>0</v>
      </c>
      <c r="C20" s="472">
        <f ca="1">CHOOSE(MOD(ROW(),3)+1,"",工资计算!L$2,OFFSET(工资计算!L$2,ROW()/3+1,))</f>
        <v>0</v>
      </c>
      <c r="D20" s="472">
        <f ca="1">CHOOSE(MOD(ROW(),3)+1,"",工资计算!M$2,OFFSET(工资计算!M$2,ROW()/3+1,))</f>
        <v>0</v>
      </c>
      <c r="E20" s="472">
        <f ca="1">CHOOSE(MOD(ROW(),3)+1,"",工资计算!N$2,OFFSET(工资计算!N$2,ROW()/3+1,))</f>
        <v>0</v>
      </c>
      <c r="F20" s="472">
        <f ca="1">CHOOSE(MOD(ROW(),3)+1,"",工资计算!O$2,OFFSET(工资计算!O$2,ROW()/3+1,))</f>
        <v>0</v>
      </c>
      <c r="G20" s="472">
        <f ca="1">CHOOSE(MOD(ROW(),3)+1,"",工资计算!P$2,OFFSET(工资计算!P$2,ROW()/3+1,))</f>
        <v>0</v>
      </c>
      <c r="H20" s="472">
        <f ca="1">CHOOSE(MOD(ROW(),3)+1,"",工资计算!Q$2,OFFSET(工资计算!Q$2,ROW()/3+1,))</f>
        <v>0</v>
      </c>
      <c r="I20" s="472">
        <f ca="1">CHOOSE(MOD(ROW(),3)+1,"",工资计算!R$2,OFFSET(工资计算!R$2,ROW()/3+1,))</f>
        <v>0</v>
      </c>
      <c r="J20" s="472">
        <f ca="1">CHOOSE(MOD(ROW(),3)+1,"",工资计算!S$2,OFFSET(工资计算!S$2,ROW()/3+1,))</f>
        <v>0</v>
      </c>
      <c r="K20" s="472">
        <f ca="1">CHOOSE(MOD(ROW(),3)+1,"",工资计算!T$2,OFFSET(工资计算!T$2,ROW()/3+1,))</f>
        <v>0</v>
      </c>
      <c r="L20" s="472">
        <f ca="1">CHOOSE(MOD(ROW(),3)+1,"",工资计算!U$2,OFFSET(工资计算!U$2,ROW()/3+1,))</f>
        <v>0</v>
      </c>
      <c r="M20" s="472">
        <f ca="1">CHOOSE(MOD(ROW(),3)+1,"",工资计算!V$2,OFFSET(工资计算!V$2,ROW()/3+1,))</f>
        <v>0</v>
      </c>
      <c r="N20" s="472">
        <f ca="1">CHOOSE(MOD(ROW(),3)+1,"",工资计算!W$2,OFFSET(工资计算!W$2,ROW()/3+1,))</f>
        <v>0</v>
      </c>
      <c r="O20" s="472" t="e">
        <f ca="1">CHOOSE(MOD(ROW(),3)+1,"",工资计算!#REF!,OFFSET(工资计算!#REF!,ROW()/3+1,))</f>
        <v>#REF!</v>
      </c>
      <c r="P20" s="472">
        <f ca="1">CHOOSE(MOD(ROW(),3)+1,"",工资计算!Y$2,OFFSET(工资计算!Y$2,ROW()/3+1,))</f>
        <v>0</v>
      </c>
      <c r="Q20" s="472">
        <f ca="1">CHOOSE(MOD(ROW(),3)+1,"",工资计算!Z$2,OFFSET(工资计算!Z$2,ROW()/3+1,))</f>
        <v>0</v>
      </c>
      <c r="R20" s="472">
        <f ca="1">CHOOSE(MOD(ROW(),3)+1,"",工资计算!AA$2,OFFSET(工资计算!AA$2,ROW()/3+1,))</f>
        <v>0</v>
      </c>
      <c r="S20" s="472">
        <f ca="1">CHOOSE(MOD(ROW(),3)+1,"",工资计算!AB$2,OFFSET(工资计算!AB$2,ROW()/3+1,))</f>
        <v>0</v>
      </c>
      <c r="T20" s="472">
        <f ca="1">CHOOSE(MOD(ROW(),3)+1,"",工资计算!AC$2,OFFSET(工资计算!AC$2,ROW()/3+1,))</f>
        <v>0</v>
      </c>
      <c r="U20" s="472">
        <f ca="1">CHOOSE(MOD(ROW(),3)+1,"",工资计算!AI$2,OFFSET(工资计算!AI$2,ROW()/3+1,))</f>
        <v>0</v>
      </c>
      <c r="V20" s="472">
        <f ca="1">CHOOSE(MOD(ROW(),3)+1,"",工资计算!AJ$2,OFFSET(工资计算!AJ$2,ROW()/3+1,))</f>
        <v>0</v>
      </c>
      <c r="W20" s="473">
        <f ca="1">CHOOSE(MOD(ROW(),3)+1,"",工资计算!AM$2,OFFSET(工资计算!AM$2,ROW()/3+1,))</f>
        <v>0</v>
      </c>
      <c r="X20" s="459"/>
      <c r="Y20" s="459"/>
      <c r="Z20" s="459"/>
      <c r="AA20" s="459"/>
    </row>
    <row r="21" spans="1:27" ht="14" thickTop="1" thickBot="1">
      <c r="A21" s="458" t="str">
        <f ca="1">CHOOSE(MOD(ROW(),3)+1,"",工资计算!I$2,OFFSET(工资计算!I$2,ROW()/3+1,))</f>
        <v/>
      </c>
      <c r="B21" s="459" t="str">
        <f ca="1">CHOOSE(MOD(ROW(),3)+1,"",工资计算!K$2,OFFSET(工资计算!K$2,ROW()/3+1,))</f>
        <v/>
      </c>
      <c r="C21" s="459" t="str">
        <f ca="1">CHOOSE(MOD(ROW(),3)+1,"",工资计算!L$2,OFFSET(工资计算!L$2,ROW()/3+1,))</f>
        <v/>
      </c>
      <c r="D21" s="459" t="str">
        <f ca="1">CHOOSE(MOD(ROW(),3)+1,"",工资计算!M$2,OFFSET(工资计算!M$2,ROW()/3+1,))</f>
        <v/>
      </c>
      <c r="E21" s="459" t="str">
        <f ca="1">CHOOSE(MOD(ROW(),3)+1,"",工资计算!N$2,OFFSET(工资计算!N$2,ROW()/3+1,))</f>
        <v/>
      </c>
      <c r="F21" s="459" t="str">
        <f ca="1">CHOOSE(MOD(ROW(),3)+1,"",工资计算!O$2,OFFSET(工资计算!O$2,ROW()/3+1,))</f>
        <v/>
      </c>
      <c r="G21" s="459" t="str">
        <f ca="1">CHOOSE(MOD(ROW(),3)+1,"",工资计算!P$2,OFFSET(工资计算!P$2,ROW()/3+1,))</f>
        <v/>
      </c>
      <c r="H21" s="459" t="str">
        <f ca="1">CHOOSE(MOD(ROW(),3)+1,"",工资计算!Q$2,OFFSET(工资计算!Q$2,ROW()/3+1,))</f>
        <v/>
      </c>
      <c r="I21" s="459" t="str">
        <f ca="1">CHOOSE(MOD(ROW(),3)+1,"",工资计算!R$2,OFFSET(工资计算!R$2,ROW()/3+1,))</f>
        <v/>
      </c>
      <c r="J21" s="459" t="str">
        <f ca="1">CHOOSE(MOD(ROW(),3)+1,"",工资计算!S$2,OFFSET(工资计算!S$2,ROW()/3+1,))</f>
        <v/>
      </c>
      <c r="K21" s="459" t="str">
        <f ca="1">CHOOSE(MOD(ROW(),3)+1,"",工资计算!T$2,OFFSET(工资计算!T$2,ROW()/3+1,))</f>
        <v/>
      </c>
      <c r="L21" s="459" t="str">
        <f ca="1">CHOOSE(MOD(ROW(),3)+1,"",工资计算!U$2,OFFSET(工资计算!U$2,ROW()/3+1,))</f>
        <v/>
      </c>
      <c r="M21" s="459" t="str">
        <f ca="1">CHOOSE(MOD(ROW(),3)+1,"",工资计算!V$2,OFFSET(工资计算!V$2,ROW()/3+1,))</f>
        <v/>
      </c>
      <c r="N21" s="459" t="str">
        <f ca="1">CHOOSE(MOD(ROW(),3)+1,"",工资计算!W$2,OFFSET(工资计算!W$2,ROW()/3+1,))</f>
        <v/>
      </c>
      <c r="O21" s="459" t="str">
        <f ca="1">CHOOSE(MOD(ROW(),3)+1,"",工资计算!#REF!,OFFSET(工资计算!#REF!,ROW()/3+1,))</f>
        <v/>
      </c>
      <c r="P21" s="459" t="str">
        <f ca="1">CHOOSE(MOD(ROW(),3)+1,"",工资计算!Y$2,OFFSET(工资计算!Y$2,ROW()/3+1,))</f>
        <v/>
      </c>
      <c r="Q21" s="459" t="str">
        <f ca="1">CHOOSE(MOD(ROW(),3)+1,"",工资计算!Z$2,OFFSET(工资计算!Z$2,ROW()/3+1,))</f>
        <v/>
      </c>
      <c r="R21" s="459" t="str">
        <f ca="1">CHOOSE(MOD(ROW(),3)+1,"",工资计算!AA$2,OFFSET(工资计算!AA$2,ROW()/3+1,))</f>
        <v/>
      </c>
      <c r="S21" s="459" t="str">
        <f ca="1">CHOOSE(MOD(ROW(),3)+1,"",工资计算!AB$2,OFFSET(工资计算!AB$2,ROW()/3+1,))</f>
        <v/>
      </c>
      <c r="T21" s="459" t="str">
        <f ca="1">CHOOSE(MOD(ROW(),3)+1,"",工资计算!AC$2,OFFSET(工资计算!AC$2,ROW()/3+1,))</f>
        <v/>
      </c>
      <c r="U21" s="459" t="str">
        <f ca="1">CHOOSE(MOD(ROW(),3)+1,"",工资计算!AI$2,OFFSET(工资计算!AI$2,ROW()/3+1,))</f>
        <v/>
      </c>
      <c r="V21" s="459" t="str">
        <f ca="1">CHOOSE(MOD(ROW(),3)+1,"",工资计算!AJ$2,OFFSET(工资计算!AJ$2,ROW()/3+1,))</f>
        <v/>
      </c>
      <c r="W21" s="459" t="str">
        <f ca="1">CHOOSE(MOD(ROW(),3)+1,"",工资计算!AM$2,OFFSET(工资计算!AM$2,ROW()/3+1,))</f>
        <v/>
      </c>
      <c r="X21" s="459"/>
      <c r="Y21" s="459"/>
      <c r="Z21" s="459"/>
      <c r="AA21" s="459"/>
    </row>
    <row r="22" spans="1:27" s="461" customFormat="1" ht="52.5" thickTop="1">
      <c r="A22" s="468" t="str">
        <f ca="1">CHOOSE(MOD(ROW(),3)+1,"",工资计算!I$2,OFFSET(工资计算!I$2,ROW()/3+1,))</f>
        <v>姓   名</v>
      </c>
      <c r="B22" s="469" t="str">
        <f ca="1">CHOOSE(MOD(ROW(),3)+1,"",工资计算!K$2,OFFSET(工资计算!K$2,ROW()/3+1,))</f>
        <v>基 本 工 资</v>
      </c>
      <c r="C22" s="469" t="str">
        <f ca="1">CHOOSE(MOD(ROW(),3)+1,"",工资计算!L$2,OFFSET(工资计算!L$2,ROW()/3+1,))</f>
        <v>岗 位     工 资</v>
      </c>
      <c r="D22" s="469" t="str">
        <f ca="1">CHOOSE(MOD(ROW(),3)+1,"",工资计算!M$2,OFFSET(工资计算!M$2,ROW()/3+1,))</f>
        <v>交通补贴</v>
      </c>
      <c r="E22" s="469" t="str">
        <f ca="1">CHOOSE(MOD(ROW(),3)+1,"",工资计算!N$2,OFFSET(工资计算!N$2,ROW()/3+1,))</f>
        <v>公务补贴</v>
      </c>
      <c r="F22" s="469" t="str">
        <f ca="1">CHOOSE(MOD(ROW(),3)+1,"",工资计算!O$2,OFFSET(工资计算!O$2,ROW()/3+1,))</f>
        <v>电话补贴</v>
      </c>
      <c r="G22" s="469" t="str">
        <f ca="1">CHOOSE(MOD(ROW(),3)+1,"",工资计算!P$2,OFFSET(工资计算!P$2,ROW()/3+1,))</f>
        <v>车补</v>
      </c>
      <c r="H22" s="469" t="str">
        <f ca="1">CHOOSE(MOD(ROW(),3)+1,"",工资计算!Q$2,OFFSET(工资计算!Q$2,ROW()/3+1,))</f>
        <v>午餐补贴</v>
      </c>
      <c r="I22" s="469" t="str">
        <f ca="1">CHOOSE(MOD(ROW(),3)+1,"",工资计算!R$2,OFFSET(工资计算!R$2,ROW()/3+1,))</f>
        <v>司龄补</v>
      </c>
      <c r="J22" s="469" t="str">
        <f ca="1">CHOOSE(MOD(ROW(),3)+1,"",工资计算!S$2,OFFSET(工资计算!S$2,ROW()/3+1,))</f>
        <v>加 班      天 数</v>
      </c>
      <c r="K22" s="469" t="str">
        <f ca="1">CHOOSE(MOD(ROW(),3)+1,"",工资计算!T$2,OFFSET(工资计算!T$2,ROW()/3+1,))</f>
        <v>加  班         工  资</v>
      </c>
      <c r="L22" s="469" t="str">
        <f ca="1">CHOOSE(MOD(ROW(),3)+1,"",工资计算!U$2,OFFSET(工资计算!U$2,ROW()/3+1,))</f>
        <v>奖    金</v>
      </c>
      <c r="M22" s="469" t="str">
        <f ca="1">CHOOSE(MOD(ROW(),3)+1,"",工资计算!V$2,OFFSET(工资计算!V$2,ROW()/3+1,))</f>
        <v>缺 勤  天 数</v>
      </c>
      <c r="N22" s="469" t="str">
        <f ca="1">CHOOSE(MOD(ROW(),3)+1,"",工资计算!W$2,OFFSET(工资计算!W$2,ROW()/3+1,))</f>
        <v>考勤应扣</v>
      </c>
      <c r="O22" s="469" t="e">
        <f ca="1">CHOOSE(MOD(ROW(),3)+1,"",工资计算!#REF!,OFFSET(工资计算!#REF!,ROW()/3+1,))</f>
        <v>#REF!</v>
      </c>
      <c r="P22" s="469" t="str">
        <f ca="1">CHOOSE(MOD(ROW(),3)+1,"",工资计算!Y$2,OFFSET(工资计算!Y$2,ROW()/3+1,))</f>
        <v>缴金基数</v>
      </c>
      <c r="Q22" s="469" t="str">
        <f ca="1">CHOOSE(MOD(ROW(),3)+1,"",工资计算!Z$2,OFFSET(工资计算!Z$2,ROW()/3+1,))</f>
        <v>养    老      保    险</v>
      </c>
      <c r="R22" s="469" t="str">
        <f ca="1">CHOOSE(MOD(ROW(),3)+1,"",工资计算!AA$2,OFFSET(工资计算!AA$2,ROW()/3+1,))</f>
        <v>失   业      保   险</v>
      </c>
      <c r="S22" s="469" t="str">
        <f ca="1">CHOOSE(MOD(ROW(),3)+1,"",工资计算!AB$2,OFFSET(工资计算!AB$2,ROW()/3+1,))</f>
        <v>医   疗      保   险</v>
      </c>
      <c r="T22" s="469" t="str">
        <f ca="1">CHOOSE(MOD(ROW(),3)+1,"",工资计算!AC$2,OFFSET(工资计算!AC$2,ROW()/3+1,))</f>
        <v>住    房    公积金</v>
      </c>
      <c r="U22" s="469" t="str">
        <f ca="1">CHOOSE(MOD(ROW(),3)+1,"",工资计算!AI$2,OFFSET(工资计算!AI$2,ROW()/3+1,))</f>
        <v>住    房    公积金   (公司)</v>
      </c>
      <c r="V22" s="469" t="str">
        <f ca="1">CHOOSE(MOD(ROW(),3)+1,"",工资计算!AJ$2,OFFSET(工资计算!AJ$2,ROW()/3+1,))</f>
        <v>代扣个人     所 得 税</v>
      </c>
      <c r="W22" s="470" t="str">
        <f ca="1">CHOOSE(MOD(ROW(),3)+1,"",工资计算!AM$2,OFFSET(工资计算!AM$2,ROW()/3+1,))</f>
        <v>实 发 工 资</v>
      </c>
      <c r="X22" s="474"/>
      <c r="Y22" s="474"/>
      <c r="Z22" s="474"/>
      <c r="AA22" s="474"/>
    </row>
    <row r="23" spans="1:27" ht="13.5" thickBot="1">
      <c r="A23" s="471">
        <f ca="1">CHOOSE(MOD(ROW(),3)+1,"",工资计算!I$2,OFFSET(工资计算!I$2,ROW()/3+1,))</f>
        <v>0</v>
      </c>
      <c r="B23" s="472">
        <f ca="1">CHOOSE(MOD(ROW(),3)+1,"",工资计算!K$2,OFFSET(工资计算!K$2,ROW()/3+1,))</f>
        <v>0</v>
      </c>
      <c r="C23" s="472">
        <f ca="1">CHOOSE(MOD(ROW(),3)+1,"",工资计算!L$2,OFFSET(工资计算!L$2,ROW()/3+1,))</f>
        <v>0</v>
      </c>
      <c r="D23" s="472">
        <f ca="1">CHOOSE(MOD(ROW(),3)+1,"",工资计算!M$2,OFFSET(工资计算!M$2,ROW()/3+1,))</f>
        <v>0</v>
      </c>
      <c r="E23" s="472">
        <f ca="1">CHOOSE(MOD(ROW(),3)+1,"",工资计算!N$2,OFFSET(工资计算!N$2,ROW()/3+1,))</f>
        <v>0</v>
      </c>
      <c r="F23" s="472">
        <f ca="1">CHOOSE(MOD(ROW(),3)+1,"",工资计算!O$2,OFFSET(工资计算!O$2,ROW()/3+1,))</f>
        <v>0</v>
      </c>
      <c r="G23" s="472">
        <f ca="1">CHOOSE(MOD(ROW(),3)+1,"",工资计算!P$2,OFFSET(工资计算!P$2,ROW()/3+1,))</f>
        <v>0</v>
      </c>
      <c r="H23" s="472">
        <f ca="1">CHOOSE(MOD(ROW(),3)+1,"",工资计算!Q$2,OFFSET(工资计算!Q$2,ROW()/3+1,))</f>
        <v>0</v>
      </c>
      <c r="I23" s="472">
        <f ca="1">CHOOSE(MOD(ROW(),3)+1,"",工资计算!R$2,OFFSET(工资计算!R$2,ROW()/3+1,))</f>
        <v>0</v>
      </c>
      <c r="J23" s="472">
        <f ca="1">CHOOSE(MOD(ROW(),3)+1,"",工资计算!S$2,OFFSET(工资计算!S$2,ROW()/3+1,))</f>
        <v>0</v>
      </c>
      <c r="K23" s="472">
        <f ca="1">CHOOSE(MOD(ROW(),3)+1,"",工资计算!T$2,OFFSET(工资计算!T$2,ROW()/3+1,))</f>
        <v>0</v>
      </c>
      <c r="L23" s="472">
        <f ca="1">CHOOSE(MOD(ROW(),3)+1,"",工资计算!U$2,OFFSET(工资计算!U$2,ROW()/3+1,))</f>
        <v>0</v>
      </c>
      <c r="M23" s="472">
        <f ca="1">CHOOSE(MOD(ROW(),3)+1,"",工资计算!V$2,OFFSET(工资计算!V$2,ROW()/3+1,))</f>
        <v>0</v>
      </c>
      <c r="N23" s="472">
        <f ca="1">CHOOSE(MOD(ROW(),3)+1,"",工资计算!W$2,OFFSET(工资计算!W$2,ROW()/3+1,))</f>
        <v>0</v>
      </c>
      <c r="O23" s="472" t="e">
        <f ca="1">CHOOSE(MOD(ROW(),3)+1,"",工资计算!#REF!,OFFSET(工资计算!#REF!,ROW()/3+1,))</f>
        <v>#REF!</v>
      </c>
      <c r="P23" s="472">
        <f ca="1">CHOOSE(MOD(ROW(),3)+1,"",工资计算!Y$2,OFFSET(工资计算!Y$2,ROW()/3+1,))</f>
        <v>0</v>
      </c>
      <c r="Q23" s="472">
        <f ca="1">CHOOSE(MOD(ROW(),3)+1,"",工资计算!Z$2,OFFSET(工资计算!Z$2,ROW()/3+1,))</f>
        <v>0</v>
      </c>
      <c r="R23" s="472">
        <f ca="1">CHOOSE(MOD(ROW(),3)+1,"",工资计算!AA$2,OFFSET(工资计算!AA$2,ROW()/3+1,))</f>
        <v>0</v>
      </c>
      <c r="S23" s="472">
        <f ca="1">CHOOSE(MOD(ROW(),3)+1,"",工资计算!AB$2,OFFSET(工资计算!AB$2,ROW()/3+1,))</f>
        <v>0</v>
      </c>
      <c r="T23" s="472">
        <f ca="1">CHOOSE(MOD(ROW(),3)+1,"",工资计算!AC$2,OFFSET(工资计算!AC$2,ROW()/3+1,))</f>
        <v>0</v>
      </c>
      <c r="U23" s="472">
        <f ca="1">CHOOSE(MOD(ROW(),3)+1,"",工资计算!AI$2,OFFSET(工资计算!AI$2,ROW()/3+1,))</f>
        <v>0</v>
      </c>
      <c r="V23" s="472">
        <f ca="1">CHOOSE(MOD(ROW(),3)+1,"",工资计算!AJ$2,OFFSET(工资计算!AJ$2,ROW()/3+1,))</f>
        <v>0</v>
      </c>
      <c r="W23" s="473">
        <f ca="1">CHOOSE(MOD(ROW(),3)+1,"",工资计算!AM$2,OFFSET(工资计算!AM$2,ROW()/3+1,))</f>
        <v>0</v>
      </c>
      <c r="X23" s="459"/>
      <c r="Y23" s="459"/>
      <c r="Z23" s="459"/>
      <c r="AA23" s="459"/>
    </row>
    <row r="24" spans="1:27" ht="14" thickTop="1" thickBot="1">
      <c r="A24" s="458" t="str">
        <f ca="1">CHOOSE(MOD(ROW(),3)+1,"",工资计算!I$2,OFFSET(工资计算!I$2,ROW()/3+1,))</f>
        <v/>
      </c>
      <c r="B24" s="459" t="str">
        <f ca="1">CHOOSE(MOD(ROW(),3)+1,"",工资计算!K$2,OFFSET(工资计算!K$2,ROW()/3+1,))</f>
        <v/>
      </c>
      <c r="C24" s="459" t="str">
        <f ca="1">CHOOSE(MOD(ROW(),3)+1,"",工资计算!L$2,OFFSET(工资计算!L$2,ROW()/3+1,))</f>
        <v/>
      </c>
      <c r="D24" s="459" t="str">
        <f ca="1">CHOOSE(MOD(ROW(),3)+1,"",工资计算!M$2,OFFSET(工资计算!M$2,ROW()/3+1,))</f>
        <v/>
      </c>
      <c r="E24" s="459" t="str">
        <f ca="1">CHOOSE(MOD(ROW(),3)+1,"",工资计算!N$2,OFFSET(工资计算!N$2,ROW()/3+1,))</f>
        <v/>
      </c>
      <c r="F24" s="459" t="str">
        <f ca="1">CHOOSE(MOD(ROW(),3)+1,"",工资计算!O$2,OFFSET(工资计算!O$2,ROW()/3+1,))</f>
        <v/>
      </c>
      <c r="G24" s="459" t="str">
        <f ca="1">CHOOSE(MOD(ROW(),3)+1,"",工资计算!P$2,OFFSET(工资计算!P$2,ROW()/3+1,))</f>
        <v/>
      </c>
      <c r="H24" s="459" t="str">
        <f ca="1">CHOOSE(MOD(ROW(),3)+1,"",工资计算!Q$2,OFFSET(工资计算!Q$2,ROW()/3+1,))</f>
        <v/>
      </c>
      <c r="I24" s="459" t="str">
        <f ca="1">CHOOSE(MOD(ROW(),3)+1,"",工资计算!R$2,OFFSET(工资计算!R$2,ROW()/3+1,))</f>
        <v/>
      </c>
      <c r="J24" s="459" t="str">
        <f ca="1">CHOOSE(MOD(ROW(),3)+1,"",工资计算!S$2,OFFSET(工资计算!S$2,ROW()/3+1,))</f>
        <v/>
      </c>
      <c r="K24" s="459" t="str">
        <f ca="1">CHOOSE(MOD(ROW(),3)+1,"",工资计算!T$2,OFFSET(工资计算!T$2,ROW()/3+1,))</f>
        <v/>
      </c>
      <c r="L24" s="459" t="str">
        <f ca="1">CHOOSE(MOD(ROW(),3)+1,"",工资计算!U$2,OFFSET(工资计算!U$2,ROW()/3+1,))</f>
        <v/>
      </c>
      <c r="M24" s="459" t="str">
        <f ca="1">CHOOSE(MOD(ROW(),3)+1,"",工资计算!V$2,OFFSET(工资计算!V$2,ROW()/3+1,))</f>
        <v/>
      </c>
      <c r="N24" s="459" t="str">
        <f ca="1">CHOOSE(MOD(ROW(),3)+1,"",工资计算!W$2,OFFSET(工资计算!W$2,ROW()/3+1,))</f>
        <v/>
      </c>
      <c r="O24" s="459" t="str">
        <f ca="1">CHOOSE(MOD(ROW(),3)+1,"",工资计算!#REF!,OFFSET(工资计算!#REF!,ROW()/3+1,))</f>
        <v/>
      </c>
      <c r="P24" s="459" t="str">
        <f ca="1">CHOOSE(MOD(ROW(),3)+1,"",工资计算!Y$2,OFFSET(工资计算!Y$2,ROW()/3+1,))</f>
        <v/>
      </c>
      <c r="Q24" s="459" t="str">
        <f ca="1">CHOOSE(MOD(ROW(),3)+1,"",工资计算!Z$2,OFFSET(工资计算!Z$2,ROW()/3+1,))</f>
        <v/>
      </c>
      <c r="R24" s="459" t="str">
        <f ca="1">CHOOSE(MOD(ROW(),3)+1,"",工资计算!AA$2,OFFSET(工资计算!AA$2,ROW()/3+1,))</f>
        <v/>
      </c>
      <c r="S24" s="459" t="str">
        <f ca="1">CHOOSE(MOD(ROW(),3)+1,"",工资计算!AB$2,OFFSET(工资计算!AB$2,ROW()/3+1,))</f>
        <v/>
      </c>
      <c r="T24" s="459" t="str">
        <f ca="1">CHOOSE(MOD(ROW(),3)+1,"",工资计算!AC$2,OFFSET(工资计算!AC$2,ROW()/3+1,))</f>
        <v/>
      </c>
      <c r="U24" s="459" t="str">
        <f ca="1">CHOOSE(MOD(ROW(),3)+1,"",工资计算!AI$2,OFFSET(工资计算!AI$2,ROW()/3+1,))</f>
        <v/>
      </c>
      <c r="V24" s="459" t="str">
        <f ca="1">CHOOSE(MOD(ROW(),3)+1,"",工资计算!AJ$2,OFFSET(工资计算!AJ$2,ROW()/3+1,))</f>
        <v/>
      </c>
      <c r="W24" s="459" t="str">
        <f ca="1">CHOOSE(MOD(ROW(),3)+1,"",工资计算!AM$2,OFFSET(工资计算!AM$2,ROW()/3+1,))</f>
        <v/>
      </c>
      <c r="X24" s="459"/>
      <c r="Y24" s="459"/>
      <c r="Z24" s="459"/>
      <c r="AA24" s="459"/>
    </row>
    <row r="25" spans="1:27" s="461" customFormat="1" ht="52.5" thickTop="1">
      <c r="A25" s="468" t="str">
        <f ca="1">CHOOSE(MOD(ROW(),3)+1,"",工资计算!I$2,OFFSET(工资计算!I$2,ROW()/3+1,))</f>
        <v>姓   名</v>
      </c>
      <c r="B25" s="469" t="str">
        <f ca="1">CHOOSE(MOD(ROW(),3)+1,"",工资计算!K$2,OFFSET(工资计算!K$2,ROW()/3+1,))</f>
        <v>基 本 工 资</v>
      </c>
      <c r="C25" s="469" t="str">
        <f ca="1">CHOOSE(MOD(ROW(),3)+1,"",工资计算!L$2,OFFSET(工资计算!L$2,ROW()/3+1,))</f>
        <v>岗 位     工 资</v>
      </c>
      <c r="D25" s="469" t="str">
        <f ca="1">CHOOSE(MOD(ROW(),3)+1,"",工资计算!M$2,OFFSET(工资计算!M$2,ROW()/3+1,))</f>
        <v>交通补贴</v>
      </c>
      <c r="E25" s="469" t="str">
        <f ca="1">CHOOSE(MOD(ROW(),3)+1,"",工资计算!N$2,OFFSET(工资计算!N$2,ROW()/3+1,))</f>
        <v>公务补贴</v>
      </c>
      <c r="F25" s="469" t="str">
        <f ca="1">CHOOSE(MOD(ROW(),3)+1,"",工资计算!O$2,OFFSET(工资计算!O$2,ROW()/3+1,))</f>
        <v>电话补贴</v>
      </c>
      <c r="G25" s="469" t="str">
        <f ca="1">CHOOSE(MOD(ROW(),3)+1,"",工资计算!P$2,OFFSET(工资计算!P$2,ROW()/3+1,))</f>
        <v>车补</v>
      </c>
      <c r="H25" s="469" t="str">
        <f ca="1">CHOOSE(MOD(ROW(),3)+1,"",工资计算!Q$2,OFFSET(工资计算!Q$2,ROW()/3+1,))</f>
        <v>午餐补贴</v>
      </c>
      <c r="I25" s="469" t="str">
        <f ca="1">CHOOSE(MOD(ROW(),3)+1,"",工资计算!R$2,OFFSET(工资计算!R$2,ROW()/3+1,))</f>
        <v>司龄补</v>
      </c>
      <c r="J25" s="469" t="str">
        <f ca="1">CHOOSE(MOD(ROW(),3)+1,"",工资计算!S$2,OFFSET(工资计算!S$2,ROW()/3+1,))</f>
        <v>加 班      天 数</v>
      </c>
      <c r="K25" s="469" t="str">
        <f ca="1">CHOOSE(MOD(ROW(),3)+1,"",工资计算!T$2,OFFSET(工资计算!T$2,ROW()/3+1,))</f>
        <v>加  班         工  资</v>
      </c>
      <c r="L25" s="469" t="str">
        <f ca="1">CHOOSE(MOD(ROW(),3)+1,"",工资计算!U$2,OFFSET(工资计算!U$2,ROW()/3+1,))</f>
        <v>奖    金</v>
      </c>
      <c r="M25" s="469" t="str">
        <f ca="1">CHOOSE(MOD(ROW(),3)+1,"",工资计算!V$2,OFFSET(工资计算!V$2,ROW()/3+1,))</f>
        <v>缺 勤  天 数</v>
      </c>
      <c r="N25" s="469" t="str">
        <f ca="1">CHOOSE(MOD(ROW(),3)+1,"",工资计算!W$2,OFFSET(工资计算!W$2,ROW()/3+1,))</f>
        <v>考勤应扣</v>
      </c>
      <c r="O25" s="469" t="e">
        <f ca="1">CHOOSE(MOD(ROW(),3)+1,"",工资计算!#REF!,OFFSET(工资计算!#REF!,ROW()/3+1,))</f>
        <v>#REF!</v>
      </c>
      <c r="P25" s="469" t="str">
        <f ca="1">CHOOSE(MOD(ROW(),3)+1,"",工资计算!Y$2,OFFSET(工资计算!Y$2,ROW()/3+1,))</f>
        <v>缴金基数</v>
      </c>
      <c r="Q25" s="469" t="str">
        <f ca="1">CHOOSE(MOD(ROW(),3)+1,"",工资计算!Z$2,OFFSET(工资计算!Z$2,ROW()/3+1,))</f>
        <v>养    老      保    险</v>
      </c>
      <c r="R25" s="469" t="str">
        <f ca="1">CHOOSE(MOD(ROW(),3)+1,"",工资计算!AA$2,OFFSET(工资计算!AA$2,ROW()/3+1,))</f>
        <v>失   业      保   险</v>
      </c>
      <c r="S25" s="469" t="str">
        <f ca="1">CHOOSE(MOD(ROW(),3)+1,"",工资计算!AB$2,OFFSET(工资计算!AB$2,ROW()/3+1,))</f>
        <v>医   疗      保   险</v>
      </c>
      <c r="T25" s="469" t="str">
        <f ca="1">CHOOSE(MOD(ROW(),3)+1,"",工资计算!AC$2,OFFSET(工资计算!AC$2,ROW()/3+1,))</f>
        <v>住    房    公积金</v>
      </c>
      <c r="U25" s="469" t="str">
        <f ca="1">CHOOSE(MOD(ROW(),3)+1,"",工资计算!AI$2,OFFSET(工资计算!AI$2,ROW()/3+1,))</f>
        <v>住    房    公积金   (公司)</v>
      </c>
      <c r="V25" s="469" t="str">
        <f ca="1">CHOOSE(MOD(ROW(),3)+1,"",工资计算!AJ$2,OFFSET(工资计算!AJ$2,ROW()/3+1,))</f>
        <v>代扣个人     所 得 税</v>
      </c>
      <c r="W25" s="470" t="str">
        <f ca="1">CHOOSE(MOD(ROW(),3)+1,"",工资计算!AM$2,OFFSET(工资计算!AM$2,ROW()/3+1,))</f>
        <v>实 发 工 资</v>
      </c>
      <c r="X25" s="474"/>
      <c r="Y25" s="474"/>
      <c r="Z25" s="474"/>
      <c r="AA25" s="474"/>
    </row>
    <row r="26" spans="1:27" ht="13.5" thickBot="1">
      <c r="A26" s="471">
        <f ca="1">CHOOSE(MOD(ROW(),3)+1,"",工资计算!I$2,OFFSET(工资计算!I$2,ROW()/3+1,))</f>
        <v>0</v>
      </c>
      <c r="B26" s="472">
        <f ca="1">CHOOSE(MOD(ROW(),3)+1,"",工资计算!K$2,OFFSET(工资计算!K$2,ROW()/3+1,))</f>
        <v>0</v>
      </c>
      <c r="C26" s="472">
        <f ca="1">CHOOSE(MOD(ROW(),3)+1,"",工资计算!L$2,OFFSET(工资计算!L$2,ROW()/3+1,))</f>
        <v>0</v>
      </c>
      <c r="D26" s="472">
        <f ca="1">CHOOSE(MOD(ROW(),3)+1,"",工资计算!M$2,OFFSET(工资计算!M$2,ROW()/3+1,))</f>
        <v>0</v>
      </c>
      <c r="E26" s="472">
        <f ca="1">CHOOSE(MOD(ROW(),3)+1,"",工资计算!N$2,OFFSET(工资计算!N$2,ROW()/3+1,))</f>
        <v>0</v>
      </c>
      <c r="F26" s="472">
        <f ca="1">CHOOSE(MOD(ROW(),3)+1,"",工资计算!O$2,OFFSET(工资计算!O$2,ROW()/3+1,))</f>
        <v>0</v>
      </c>
      <c r="G26" s="472">
        <f ca="1">CHOOSE(MOD(ROW(),3)+1,"",工资计算!P$2,OFFSET(工资计算!P$2,ROW()/3+1,))</f>
        <v>0</v>
      </c>
      <c r="H26" s="472">
        <f ca="1">CHOOSE(MOD(ROW(),3)+1,"",工资计算!Q$2,OFFSET(工资计算!Q$2,ROW()/3+1,))</f>
        <v>0</v>
      </c>
      <c r="I26" s="472">
        <f ca="1">CHOOSE(MOD(ROW(),3)+1,"",工资计算!R$2,OFFSET(工资计算!R$2,ROW()/3+1,))</f>
        <v>0</v>
      </c>
      <c r="J26" s="472">
        <f ca="1">CHOOSE(MOD(ROW(),3)+1,"",工资计算!S$2,OFFSET(工资计算!S$2,ROW()/3+1,))</f>
        <v>0</v>
      </c>
      <c r="K26" s="472">
        <f ca="1">CHOOSE(MOD(ROW(),3)+1,"",工资计算!T$2,OFFSET(工资计算!T$2,ROW()/3+1,))</f>
        <v>0</v>
      </c>
      <c r="L26" s="472">
        <f ca="1">CHOOSE(MOD(ROW(),3)+1,"",工资计算!U$2,OFFSET(工资计算!U$2,ROW()/3+1,))</f>
        <v>0</v>
      </c>
      <c r="M26" s="472">
        <f ca="1">CHOOSE(MOD(ROW(),3)+1,"",工资计算!V$2,OFFSET(工资计算!V$2,ROW()/3+1,))</f>
        <v>0</v>
      </c>
      <c r="N26" s="472">
        <f ca="1">CHOOSE(MOD(ROW(),3)+1,"",工资计算!W$2,OFFSET(工资计算!W$2,ROW()/3+1,))</f>
        <v>0</v>
      </c>
      <c r="O26" s="472" t="e">
        <f ca="1">CHOOSE(MOD(ROW(),3)+1,"",工资计算!#REF!,OFFSET(工资计算!#REF!,ROW()/3+1,))</f>
        <v>#REF!</v>
      </c>
      <c r="P26" s="472">
        <f ca="1">CHOOSE(MOD(ROW(),3)+1,"",工资计算!Y$2,OFFSET(工资计算!Y$2,ROW()/3+1,))</f>
        <v>0</v>
      </c>
      <c r="Q26" s="472">
        <f ca="1">CHOOSE(MOD(ROW(),3)+1,"",工资计算!Z$2,OFFSET(工资计算!Z$2,ROW()/3+1,))</f>
        <v>0</v>
      </c>
      <c r="R26" s="472">
        <f ca="1">CHOOSE(MOD(ROW(),3)+1,"",工资计算!AA$2,OFFSET(工资计算!AA$2,ROW()/3+1,))</f>
        <v>0</v>
      </c>
      <c r="S26" s="472">
        <f ca="1">CHOOSE(MOD(ROW(),3)+1,"",工资计算!AB$2,OFFSET(工资计算!AB$2,ROW()/3+1,))</f>
        <v>0</v>
      </c>
      <c r="T26" s="472">
        <f ca="1">CHOOSE(MOD(ROW(),3)+1,"",工资计算!AC$2,OFFSET(工资计算!AC$2,ROW()/3+1,))</f>
        <v>0</v>
      </c>
      <c r="U26" s="472">
        <f ca="1">CHOOSE(MOD(ROW(),3)+1,"",工资计算!AI$2,OFFSET(工资计算!AI$2,ROW()/3+1,))</f>
        <v>0</v>
      </c>
      <c r="V26" s="472">
        <f ca="1">CHOOSE(MOD(ROW(),3)+1,"",工资计算!AJ$2,OFFSET(工资计算!AJ$2,ROW()/3+1,))</f>
        <v>0</v>
      </c>
      <c r="W26" s="473">
        <f ca="1">CHOOSE(MOD(ROW(),3)+1,"",工资计算!AM$2,OFFSET(工资计算!AM$2,ROW()/3+1,))</f>
        <v>0</v>
      </c>
      <c r="X26" s="459"/>
      <c r="Y26" s="459"/>
      <c r="Z26" s="459"/>
      <c r="AA26" s="459"/>
    </row>
    <row r="27" spans="1:27" ht="14" thickTop="1" thickBot="1">
      <c r="A27" s="458" t="str">
        <f ca="1">CHOOSE(MOD(ROW(),3)+1,"",工资计算!I$2,OFFSET(工资计算!I$2,ROW()/3+1,))</f>
        <v/>
      </c>
      <c r="B27" s="459" t="str">
        <f ca="1">CHOOSE(MOD(ROW(),3)+1,"",工资计算!K$2,OFFSET(工资计算!K$2,ROW()/3+1,))</f>
        <v/>
      </c>
      <c r="C27" s="459" t="str">
        <f ca="1">CHOOSE(MOD(ROW(),3)+1,"",工资计算!L$2,OFFSET(工资计算!L$2,ROW()/3+1,))</f>
        <v/>
      </c>
      <c r="D27" s="459" t="str">
        <f ca="1">CHOOSE(MOD(ROW(),3)+1,"",工资计算!M$2,OFFSET(工资计算!M$2,ROW()/3+1,))</f>
        <v/>
      </c>
      <c r="E27" s="459" t="str">
        <f ca="1">CHOOSE(MOD(ROW(),3)+1,"",工资计算!N$2,OFFSET(工资计算!N$2,ROW()/3+1,))</f>
        <v/>
      </c>
      <c r="F27" s="459" t="str">
        <f ca="1">CHOOSE(MOD(ROW(),3)+1,"",工资计算!O$2,OFFSET(工资计算!O$2,ROW()/3+1,))</f>
        <v/>
      </c>
      <c r="G27" s="459" t="str">
        <f ca="1">CHOOSE(MOD(ROW(),3)+1,"",工资计算!P$2,OFFSET(工资计算!P$2,ROW()/3+1,))</f>
        <v/>
      </c>
      <c r="H27" s="459" t="str">
        <f ca="1">CHOOSE(MOD(ROW(),3)+1,"",工资计算!Q$2,OFFSET(工资计算!Q$2,ROW()/3+1,))</f>
        <v/>
      </c>
      <c r="I27" s="459" t="str">
        <f ca="1">CHOOSE(MOD(ROW(),3)+1,"",工资计算!R$2,OFFSET(工资计算!R$2,ROW()/3+1,))</f>
        <v/>
      </c>
      <c r="J27" s="459" t="str">
        <f ca="1">CHOOSE(MOD(ROW(),3)+1,"",工资计算!S$2,OFFSET(工资计算!S$2,ROW()/3+1,))</f>
        <v/>
      </c>
      <c r="K27" s="459" t="str">
        <f ca="1">CHOOSE(MOD(ROW(),3)+1,"",工资计算!T$2,OFFSET(工资计算!T$2,ROW()/3+1,))</f>
        <v/>
      </c>
      <c r="L27" s="459" t="str">
        <f ca="1">CHOOSE(MOD(ROW(),3)+1,"",工资计算!U$2,OFFSET(工资计算!U$2,ROW()/3+1,))</f>
        <v/>
      </c>
      <c r="M27" s="459" t="str">
        <f ca="1">CHOOSE(MOD(ROW(),3)+1,"",工资计算!V$2,OFFSET(工资计算!V$2,ROW()/3+1,))</f>
        <v/>
      </c>
      <c r="N27" s="459" t="str">
        <f ca="1">CHOOSE(MOD(ROW(),3)+1,"",工资计算!W$2,OFFSET(工资计算!W$2,ROW()/3+1,))</f>
        <v/>
      </c>
      <c r="O27" s="459" t="str">
        <f ca="1">CHOOSE(MOD(ROW(),3)+1,"",工资计算!#REF!,OFFSET(工资计算!#REF!,ROW()/3+1,))</f>
        <v/>
      </c>
      <c r="P27" s="459" t="str">
        <f ca="1">CHOOSE(MOD(ROW(),3)+1,"",工资计算!Y$2,OFFSET(工资计算!Y$2,ROW()/3+1,))</f>
        <v/>
      </c>
      <c r="Q27" s="459" t="str">
        <f ca="1">CHOOSE(MOD(ROW(),3)+1,"",工资计算!Z$2,OFFSET(工资计算!Z$2,ROW()/3+1,))</f>
        <v/>
      </c>
      <c r="R27" s="459" t="str">
        <f ca="1">CHOOSE(MOD(ROW(),3)+1,"",工资计算!AA$2,OFFSET(工资计算!AA$2,ROW()/3+1,))</f>
        <v/>
      </c>
      <c r="S27" s="459" t="str">
        <f ca="1">CHOOSE(MOD(ROW(),3)+1,"",工资计算!AB$2,OFFSET(工资计算!AB$2,ROW()/3+1,))</f>
        <v/>
      </c>
      <c r="T27" s="459" t="str">
        <f ca="1">CHOOSE(MOD(ROW(),3)+1,"",工资计算!AC$2,OFFSET(工资计算!AC$2,ROW()/3+1,))</f>
        <v/>
      </c>
      <c r="U27" s="459" t="str">
        <f ca="1">CHOOSE(MOD(ROW(),3)+1,"",工资计算!AI$2,OFFSET(工资计算!AI$2,ROW()/3+1,))</f>
        <v/>
      </c>
      <c r="V27" s="459" t="str">
        <f ca="1">CHOOSE(MOD(ROW(),3)+1,"",工资计算!AJ$2,OFFSET(工资计算!AJ$2,ROW()/3+1,))</f>
        <v/>
      </c>
      <c r="W27" s="459" t="str">
        <f ca="1">CHOOSE(MOD(ROW(),3)+1,"",工资计算!AM$2,OFFSET(工资计算!AM$2,ROW()/3+1,))</f>
        <v/>
      </c>
      <c r="X27" s="459"/>
      <c r="Y27" s="459"/>
      <c r="Z27" s="459"/>
      <c r="AA27" s="459"/>
    </row>
    <row r="28" spans="1:27" s="461" customFormat="1" ht="52.5" thickTop="1">
      <c r="A28" s="468" t="str">
        <f ca="1">CHOOSE(MOD(ROW(),3)+1,"",工资计算!I$2,OFFSET(工资计算!I$2,ROW()/3+1,))</f>
        <v>姓   名</v>
      </c>
      <c r="B28" s="469" t="str">
        <f ca="1">CHOOSE(MOD(ROW(),3)+1,"",工资计算!K$2,OFFSET(工资计算!K$2,ROW()/3+1,))</f>
        <v>基 本 工 资</v>
      </c>
      <c r="C28" s="469" t="str">
        <f ca="1">CHOOSE(MOD(ROW(),3)+1,"",工资计算!L$2,OFFSET(工资计算!L$2,ROW()/3+1,))</f>
        <v>岗 位     工 资</v>
      </c>
      <c r="D28" s="469" t="str">
        <f ca="1">CHOOSE(MOD(ROW(),3)+1,"",工资计算!M$2,OFFSET(工资计算!M$2,ROW()/3+1,))</f>
        <v>交通补贴</v>
      </c>
      <c r="E28" s="469" t="str">
        <f ca="1">CHOOSE(MOD(ROW(),3)+1,"",工资计算!N$2,OFFSET(工资计算!N$2,ROW()/3+1,))</f>
        <v>公务补贴</v>
      </c>
      <c r="F28" s="469" t="str">
        <f ca="1">CHOOSE(MOD(ROW(),3)+1,"",工资计算!O$2,OFFSET(工资计算!O$2,ROW()/3+1,))</f>
        <v>电话补贴</v>
      </c>
      <c r="G28" s="469" t="str">
        <f ca="1">CHOOSE(MOD(ROW(),3)+1,"",工资计算!P$2,OFFSET(工资计算!P$2,ROW()/3+1,))</f>
        <v>车补</v>
      </c>
      <c r="H28" s="469" t="str">
        <f ca="1">CHOOSE(MOD(ROW(),3)+1,"",工资计算!Q$2,OFFSET(工资计算!Q$2,ROW()/3+1,))</f>
        <v>午餐补贴</v>
      </c>
      <c r="I28" s="469" t="str">
        <f ca="1">CHOOSE(MOD(ROW(),3)+1,"",工资计算!R$2,OFFSET(工资计算!R$2,ROW()/3+1,))</f>
        <v>司龄补</v>
      </c>
      <c r="J28" s="469" t="str">
        <f ca="1">CHOOSE(MOD(ROW(),3)+1,"",工资计算!S$2,OFFSET(工资计算!S$2,ROW()/3+1,))</f>
        <v>加 班      天 数</v>
      </c>
      <c r="K28" s="469" t="str">
        <f ca="1">CHOOSE(MOD(ROW(),3)+1,"",工资计算!T$2,OFFSET(工资计算!T$2,ROW()/3+1,))</f>
        <v>加  班         工  资</v>
      </c>
      <c r="L28" s="469" t="str">
        <f ca="1">CHOOSE(MOD(ROW(),3)+1,"",工资计算!U$2,OFFSET(工资计算!U$2,ROW()/3+1,))</f>
        <v>奖    金</v>
      </c>
      <c r="M28" s="469" t="str">
        <f ca="1">CHOOSE(MOD(ROW(),3)+1,"",工资计算!V$2,OFFSET(工资计算!V$2,ROW()/3+1,))</f>
        <v>缺 勤  天 数</v>
      </c>
      <c r="N28" s="469" t="str">
        <f ca="1">CHOOSE(MOD(ROW(),3)+1,"",工资计算!W$2,OFFSET(工资计算!W$2,ROW()/3+1,))</f>
        <v>考勤应扣</v>
      </c>
      <c r="O28" s="469" t="e">
        <f ca="1">CHOOSE(MOD(ROW(),3)+1,"",工资计算!#REF!,OFFSET(工资计算!#REF!,ROW()/3+1,))</f>
        <v>#REF!</v>
      </c>
      <c r="P28" s="469" t="str">
        <f ca="1">CHOOSE(MOD(ROW(),3)+1,"",工资计算!Y$2,OFFSET(工资计算!Y$2,ROW()/3+1,))</f>
        <v>缴金基数</v>
      </c>
      <c r="Q28" s="469" t="str">
        <f ca="1">CHOOSE(MOD(ROW(),3)+1,"",工资计算!Z$2,OFFSET(工资计算!Z$2,ROW()/3+1,))</f>
        <v>养    老      保    险</v>
      </c>
      <c r="R28" s="469" t="str">
        <f ca="1">CHOOSE(MOD(ROW(),3)+1,"",工资计算!AA$2,OFFSET(工资计算!AA$2,ROW()/3+1,))</f>
        <v>失   业      保   险</v>
      </c>
      <c r="S28" s="469" t="str">
        <f ca="1">CHOOSE(MOD(ROW(),3)+1,"",工资计算!AB$2,OFFSET(工资计算!AB$2,ROW()/3+1,))</f>
        <v>医   疗      保   险</v>
      </c>
      <c r="T28" s="469" t="str">
        <f ca="1">CHOOSE(MOD(ROW(),3)+1,"",工资计算!AC$2,OFFSET(工资计算!AC$2,ROW()/3+1,))</f>
        <v>住    房    公积金</v>
      </c>
      <c r="U28" s="469" t="str">
        <f ca="1">CHOOSE(MOD(ROW(),3)+1,"",工资计算!AI$2,OFFSET(工资计算!AI$2,ROW()/3+1,))</f>
        <v>住    房    公积金   (公司)</v>
      </c>
      <c r="V28" s="469" t="str">
        <f ca="1">CHOOSE(MOD(ROW(),3)+1,"",工资计算!AJ$2,OFFSET(工资计算!AJ$2,ROW()/3+1,))</f>
        <v>代扣个人     所 得 税</v>
      </c>
      <c r="W28" s="470" t="str">
        <f ca="1">CHOOSE(MOD(ROW(),3)+1,"",工资计算!AM$2,OFFSET(工资计算!AM$2,ROW()/3+1,))</f>
        <v>实 发 工 资</v>
      </c>
      <c r="X28" s="474"/>
      <c r="Y28" s="474"/>
      <c r="Z28" s="474"/>
      <c r="AA28" s="474"/>
    </row>
    <row r="29" spans="1:27" ht="13.5" thickBot="1">
      <c r="A29" s="471">
        <f ca="1">CHOOSE(MOD(ROW(),3)+1,"",工资计算!I$2,OFFSET(工资计算!I$2,ROW()/3+1,))</f>
        <v>0</v>
      </c>
      <c r="B29" s="472">
        <f ca="1">CHOOSE(MOD(ROW(),3)+1,"",工资计算!K$2,OFFSET(工资计算!K$2,ROW()/3+1,))</f>
        <v>0</v>
      </c>
      <c r="C29" s="472">
        <f ca="1">CHOOSE(MOD(ROW(),3)+1,"",工资计算!L$2,OFFSET(工资计算!L$2,ROW()/3+1,))</f>
        <v>0</v>
      </c>
      <c r="D29" s="472">
        <f ca="1">CHOOSE(MOD(ROW(),3)+1,"",工资计算!M$2,OFFSET(工资计算!M$2,ROW()/3+1,))</f>
        <v>0</v>
      </c>
      <c r="E29" s="472">
        <f ca="1">CHOOSE(MOD(ROW(),3)+1,"",工资计算!N$2,OFFSET(工资计算!N$2,ROW()/3+1,))</f>
        <v>0</v>
      </c>
      <c r="F29" s="472">
        <f ca="1">CHOOSE(MOD(ROW(),3)+1,"",工资计算!O$2,OFFSET(工资计算!O$2,ROW()/3+1,))</f>
        <v>0</v>
      </c>
      <c r="G29" s="472">
        <f ca="1">CHOOSE(MOD(ROW(),3)+1,"",工资计算!P$2,OFFSET(工资计算!P$2,ROW()/3+1,))</f>
        <v>0</v>
      </c>
      <c r="H29" s="472">
        <f ca="1">CHOOSE(MOD(ROW(),3)+1,"",工资计算!Q$2,OFFSET(工资计算!Q$2,ROW()/3+1,))</f>
        <v>0</v>
      </c>
      <c r="I29" s="472">
        <f ca="1">CHOOSE(MOD(ROW(),3)+1,"",工资计算!R$2,OFFSET(工资计算!R$2,ROW()/3+1,))</f>
        <v>0</v>
      </c>
      <c r="J29" s="472">
        <f ca="1">CHOOSE(MOD(ROW(),3)+1,"",工资计算!S$2,OFFSET(工资计算!S$2,ROW()/3+1,))</f>
        <v>0</v>
      </c>
      <c r="K29" s="472">
        <f ca="1">CHOOSE(MOD(ROW(),3)+1,"",工资计算!T$2,OFFSET(工资计算!T$2,ROW()/3+1,))</f>
        <v>0</v>
      </c>
      <c r="L29" s="472">
        <f ca="1">CHOOSE(MOD(ROW(),3)+1,"",工资计算!U$2,OFFSET(工资计算!U$2,ROW()/3+1,))</f>
        <v>0</v>
      </c>
      <c r="M29" s="472">
        <f ca="1">CHOOSE(MOD(ROW(),3)+1,"",工资计算!V$2,OFFSET(工资计算!V$2,ROW()/3+1,))</f>
        <v>0</v>
      </c>
      <c r="N29" s="472">
        <f ca="1">CHOOSE(MOD(ROW(),3)+1,"",工资计算!W$2,OFFSET(工资计算!W$2,ROW()/3+1,))</f>
        <v>0</v>
      </c>
      <c r="O29" s="472" t="e">
        <f ca="1">CHOOSE(MOD(ROW(),3)+1,"",工资计算!#REF!,OFFSET(工资计算!#REF!,ROW()/3+1,))</f>
        <v>#REF!</v>
      </c>
      <c r="P29" s="472">
        <f ca="1">CHOOSE(MOD(ROW(),3)+1,"",工资计算!Y$2,OFFSET(工资计算!Y$2,ROW()/3+1,))</f>
        <v>0</v>
      </c>
      <c r="Q29" s="472">
        <f ca="1">CHOOSE(MOD(ROW(),3)+1,"",工资计算!Z$2,OFFSET(工资计算!Z$2,ROW()/3+1,))</f>
        <v>0</v>
      </c>
      <c r="R29" s="472">
        <f ca="1">CHOOSE(MOD(ROW(),3)+1,"",工资计算!AA$2,OFFSET(工资计算!AA$2,ROW()/3+1,))</f>
        <v>0</v>
      </c>
      <c r="S29" s="472">
        <f ca="1">CHOOSE(MOD(ROW(),3)+1,"",工资计算!AB$2,OFFSET(工资计算!AB$2,ROW()/3+1,))</f>
        <v>0</v>
      </c>
      <c r="T29" s="472">
        <f ca="1">CHOOSE(MOD(ROW(),3)+1,"",工资计算!AC$2,OFFSET(工资计算!AC$2,ROW()/3+1,))</f>
        <v>0</v>
      </c>
      <c r="U29" s="472">
        <f ca="1">CHOOSE(MOD(ROW(),3)+1,"",工资计算!AI$2,OFFSET(工资计算!AI$2,ROW()/3+1,))</f>
        <v>0</v>
      </c>
      <c r="V29" s="472">
        <f ca="1">CHOOSE(MOD(ROW(),3)+1,"",工资计算!AJ$2,OFFSET(工资计算!AJ$2,ROW()/3+1,))</f>
        <v>0</v>
      </c>
      <c r="W29" s="473">
        <f ca="1">CHOOSE(MOD(ROW(),3)+1,"",工资计算!AM$2,OFFSET(工资计算!AM$2,ROW()/3+1,))</f>
        <v>0</v>
      </c>
      <c r="X29" s="459"/>
      <c r="Y29" s="459"/>
      <c r="Z29" s="459"/>
      <c r="AA29" s="459"/>
    </row>
    <row r="30" spans="1:27" ht="13.5" thickTop="1">
      <c r="A30" s="458" t="str">
        <f ca="1">CHOOSE(MOD(ROW(),3)+1,"",工资计算!I$2,OFFSET(工资计算!I$2,ROW()/3+1,))</f>
        <v/>
      </c>
      <c r="B30" s="459" t="str">
        <f ca="1">CHOOSE(MOD(ROW(),3)+1,"",工资计算!K$2,OFFSET(工资计算!K$2,ROW()/3+1,))</f>
        <v/>
      </c>
      <c r="C30" s="459" t="str">
        <f ca="1">CHOOSE(MOD(ROW(),3)+1,"",工资计算!L$2,OFFSET(工资计算!L$2,ROW()/3+1,))</f>
        <v/>
      </c>
      <c r="D30" s="459" t="str">
        <f ca="1">CHOOSE(MOD(ROW(),3)+1,"",工资计算!M$2,OFFSET(工资计算!M$2,ROW()/3+1,))</f>
        <v/>
      </c>
      <c r="E30" s="459" t="str">
        <f ca="1">CHOOSE(MOD(ROW(),3)+1,"",工资计算!N$2,OFFSET(工资计算!N$2,ROW()/3+1,))</f>
        <v/>
      </c>
      <c r="F30" s="459" t="str">
        <f ca="1">CHOOSE(MOD(ROW(),3)+1,"",工资计算!O$2,OFFSET(工资计算!O$2,ROW()/3+1,))</f>
        <v/>
      </c>
      <c r="G30" s="459" t="str">
        <f ca="1">CHOOSE(MOD(ROW(),3)+1,"",工资计算!P$2,OFFSET(工资计算!P$2,ROW()/3+1,))</f>
        <v/>
      </c>
      <c r="H30" s="459" t="str">
        <f ca="1">CHOOSE(MOD(ROW(),3)+1,"",工资计算!Q$2,OFFSET(工资计算!Q$2,ROW()/3+1,))</f>
        <v/>
      </c>
      <c r="I30" s="459" t="str">
        <f ca="1">CHOOSE(MOD(ROW(),3)+1,"",工资计算!R$2,OFFSET(工资计算!R$2,ROW()/3+1,))</f>
        <v/>
      </c>
      <c r="J30" s="459" t="str">
        <f ca="1">CHOOSE(MOD(ROW(),3)+1,"",工资计算!S$2,OFFSET(工资计算!S$2,ROW()/3+1,))</f>
        <v/>
      </c>
      <c r="K30" s="459" t="str">
        <f ca="1">CHOOSE(MOD(ROW(),3)+1,"",工资计算!T$2,OFFSET(工资计算!T$2,ROW()/3+1,))</f>
        <v/>
      </c>
      <c r="L30" s="459" t="str">
        <f ca="1">CHOOSE(MOD(ROW(),3)+1,"",工资计算!U$2,OFFSET(工资计算!U$2,ROW()/3+1,))</f>
        <v/>
      </c>
      <c r="M30" s="459" t="str">
        <f ca="1">CHOOSE(MOD(ROW(),3)+1,"",工资计算!V$2,OFFSET(工资计算!V$2,ROW()/3+1,))</f>
        <v/>
      </c>
      <c r="N30" s="459" t="str">
        <f ca="1">CHOOSE(MOD(ROW(),3)+1,"",工资计算!W$2,OFFSET(工资计算!W$2,ROW()/3+1,))</f>
        <v/>
      </c>
      <c r="O30" s="459" t="str">
        <f ca="1">CHOOSE(MOD(ROW(),3)+1,"",工资计算!#REF!,OFFSET(工资计算!#REF!,ROW()/3+1,))</f>
        <v/>
      </c>
      <c r="P30" s="459" t="str">
        <f ca="1">CHOOSE(MOD(ROW(),3)+1,"",工资计算!Y$2,OFFSET(工资计算!Y$2,ROW()/3+1,))</f>
        <v/>
      </c>
      <c r="Q30" s="459" t="str">
        <f ca="1">CHOOSE(MOD(ROW(),3)+1,"",工资计算!Z$2,OFFSET(工资计算!Z$2,ROW()/3+1,))</f>
        <v/>
      </c>
      <c r="R30" s="459" t="str">
        <f ca="1">CHOOSE(MOD(ROW(),3)+1,"",工资计算!AA$2,OFFSET(工资计算!AA$2,ROW()/3+1,))</f>
        <v/>
      </c>
      <c r="S30" s="459" t="str">
        <f ca="1">CHOOSE(MOD(ROW(),3)+1,"",工资计算!AB$2,OFFSET(工资计算!AB$2,ROW()/3+1,))</f>
        <v/>
      </c>
      <c r="T30" s="459" t="str">
        <f ca="1">CHOOSE(MOD(ROW(),3)+1,"",工资计算!AC$2,OFFSET(工资计算!AC$2,ROW()/3+1,))</f>
        <v/>
      </c>
      <c r="U30" s="459" t="str">
        <f ca="1">CHOOSE(MOD(ROW(),3)+1,"",工资计算!AI$2,OFFSET(工资计算!AI$2,ROW()/3+1,))</f>
        <v/>
      </c>
      <c r="V30" s="459" t="str">
        <f ca="1">CHOOSE(MOD(ROW(),3)+1,"",工资计算!AJ$2,OFFSET(工资计算!AJ$2,ROW()/3+1,))</f>
        <v/>
      </c>
      <c r="W30" s="459" t="str">
        <f ca="1">CHOOSE(MOD(ROW(),3)+1,"",工资计算!AM$2,OFFSET(工资计算!AM$2,ROW()/3+1,))</f>
        <v/>
      </c>
      <c r="X30" s="459"/>
      <c r="Y30" s="459"/>
      <c r="Z30" s="459"/>
      <c r="AA30" s="459"/>
    </row>
    <row r="31" spans="1:27">
      <c r="A31" s="458"/>
      <c r="B31" s="459"/>
      <c r="C31" s="459"/>
      <c r="D31" s="459"/>
      <c r="E31" s="459"/>
      <c r="F31" s="459"/>
      <c r="G31" s="459"/>
      <c r="H31" s="459"/>
      <c r="I31" s="459"/>
      <c r="J31" s="459"/>
      <c r="K31" s="459"/>
      <c r="L31" s="459"/>
      <c r="M31" s="459"/>
      <c r="N31" s="459"/>
      <c r="O31" s="459"/>
      <c r="P31" s="459"/>
      <c r="Q31" s="459"/>
      <c r="R31" s="459"/>
      <c r="S31" s="459"/>
      <c r="T31" s="459"/>
      <c r="U31" s="459"/>
      <c r="V31" s="459"/>
      <c r="W31" s="459"/>
      <c r="X31" s="459"/>
      <c r="Y31" s="459"/>
      <c r="Z31" s="459"/>
      <c r="AA31" s="459"/>
    </row>
    <row r="32" spans="1:27">
      <c r="A32" s="458"/>
      <c r="B32" s="459"/>
      <c r="C32" s="459"/>
      <c r="D32" s="459"/>
      <c r="E32" s="459"/>
      <c r="F32" s="459"/>
      <c r="G32" s="459"/>
      <c r="H32" s="459"/>
      <c r="I32" s="459"/>
      <c r="J32" s="459"/>
      <c r="K32" s="459"/>
      <c r="L32" s="459"/>
      <c r="M32" s="459"/>
      <c r="N32" s="459"/>
      <c r="O32" s="459"/>
      <c r="P32" s="459"/>
      <c r="Q32" s="459"/>
      <c r="R32" s="459"/>
      <c r="S32" s="459"/>
      <c r="T32" s="459"/>
      <c r="U32" s="459"/>
      <c r="V32" s="459"/>
      <c r="W32" s="459"/>
      <c r="X32" s="459"/>
      <c r="Y32" s="459"/>
      <c r="Z32" s="459"/>
      <c r="AA32" s="459"/>
    </row>
    <row r="33" spans="1:27">
      <c r="A33" s="458"/>
      <c r="B33" s="459"/>
      <c r="C33" s="459"/>
      <c r="D33" s="459"/>
      <c r="E33" s="459"/>
      <c r="F33" s="459"/>
      <c r="G33" s="459"/>
      <c r="H33" s="459"/>
      <c r="I33" s="459"/>
      <c r="J33" s="459"/>
      <c r="K33" s="459"/>
      <c r="L33" s="459"/>
      <c r="M33" s="459"/>
      <c r="N33" s="459"/>
      <c r="O33" s="459"/>
      <c r="P33" s="459"/>
      <c r="Q33" s="459"/>
      <c r="R33" s="459"/>
      <c r="S33" s="459"/>
      <c r="T33" s="459"/>
      <c r="U33" s="459"/>
      <c r="V33" s="459"/>
      <c r="W33" s="459"/>
      <c r="X33" s="459"/>
      <c r="Y33" s="459"/>
      <c r="Z33" s="459"/>
      <c r="AA33" s="459"/>
    </row>
    <row r="34" spans="1:27">
      <c r="A34" s="458"/>
      <c r="B34" s="459"/>
      <c r="C34" s="459"/>
      <c r="D34" s="459"/>
      <c r="E34" s="459"/>
      <c r="F34" s="459"/>
      <c r="G34" s="459"/>
      <c r="H34" s="459"/>
      <c r="I34" s="459"/>
      <c r="J34" s="459"/>
      <c r="K34" s="459"/>
      <c r="L34" s="459"/>
      <c r="M34" s="459"/>
      <c r="N34" s="459"/>
      <c r="O34" s="459"/>
      <c r="P34" s="459"/>
      <c r="Q34" s="459"/>
      <c r="R34" s="459"/>
      <c r="S34" s="459"/>
      <c r="T34" s="459"/>
      <c r="U34" s="459"/>
      <c r="V34" s="459"/>
      <c r="W34" s="459"/>
      <c r="X34" s="459"/>
      <c r="Y34" s="459"/>
      <c r="Z34" s="459"/>
      <c r="AA34" s="459"/>
    </row>
    <row r="35" spans="1:27">
      <c r="A35" s="458"/>
      <c r="B35" s="459"/>
      <c r="C35" s="459"/>
      <c r="D35" s="459"/>
      <c r="E35" s="459"/>
      <c r="F35" s="459"/>
      <c r="G35" s="459"/>
      <c r="H35" s="459"/>
      <c r="I35" s="459"/>
      <c r="J35" s="459"/>
      <c r="K35" s="459"/>
      <c r="L35" s="459"/>
      <c r="M35" s="459"/>
      <c r="N35" s="459"/>
      <c r="O35" s="459"/>
      <c r="P35" s="459"/>
      <c r="Q35" s="459"/>
      <c r="R35" s="459"/>
      <c r="S35" s="459"/>
      <c r="T35" s="459"/>
      <c r="U35" s="459"/>
      <c r="V35" s="459"/>
      <c r="W35" s="459"/>
      <c r="X35" s="459"/>
      <c r="Y35" s="459"/>
      <c r="Z35" s="459"/>
      <c r="AA35" s="459"/>
    </row>
    <row r="36" spans="1:27">
      <c r="A36" s="458"/>
      <c r="B36" s="459"/>
      <c r="C36" s="459"/>
      <c r="D36" s="459"/>
      <c r="E36" s="459"/>
      <c r="F36" s="459"/>
      <c r="G36" s="459"/>
      <c r="H36" s="459"/>
      <c r="I36" s="459"/>
      <c r="J36" s="459"/>
      <c r="K36" s="459"/>
      <c r="L36" s="459"/>
      <c r="M36" s="459"/>
      <c r="N36" s="459"/>
      <c r="O36" s="459"/>
      <c r="P36" s="459"/>
      <c r="Q36" s="459"/>
      <c r="R36" s="459"/>
      <c r="S36" s="459"/>
      <c r="T36" s="459"/>
      <c r="U36" s="459"/>
      <c r="V36" s="459"/>
      <c r="W36" s="459"/>
      <c r="X36" s="459"/>
      <c r="Y36" s="459"/>
      <c r="Z36" s="459"/>
      <c r="AA36" s="459"/>
    </row>
    <row r="37" spans="1:27">
      <c r="A37" s="458"/>
      <c r="B37" s="459"/>
      <c r="C37" s="459"/>
      <c r="D37" s="459"/>
      <c r="E37" s="459"/>
      <c r="F37" s="459"/>
      <c r="G37" s="459"/>
      <c r="H37" s="459"/>
      <c r="I37" s="459"/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459"/>
      <c r="U37" s="459"/>
      <c r="V37" s="459"/>
      <c r="W37" s="459"/>
      <c r="X37" s="459"/>
      <c r="Y37" s="459"/>
      <c r="Z37" s="459"/>
      <c r="AA37" s="459"/>
    </row>
    <row r="38" spans="1:27">
      <c r="A38" s="458"/>
      <c r="B38" s="459"/>
      <c r="C38" s="459"/>
      <c r="D38" s="459"/>
      <c r="E38" s="459"/>
      <c r="F38" s="459"/>
      <c r="G38" s="459"/>
      <c r="H38" s="459"/>
      <c r="I38" s="459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459"/>
      <c r="V38" s="459"/>
      <c r="W38" s="459"/>
      <c r="X38" s="459"/>
      <c r="Y38" s="459"/>
      <c r="Z38" s="459"/>
      <c r="AA38" s="459"/>
    </row>
    <row r="39" spans="1:27">
      <c r="A39" s="458"/>
      <c r="B39" s="459"/>
      <c r="C39" s="459"/>
      <c r="D39" s="459"/>
      <c r="E39" s="459"/>
      <c r="F39" s="459"/>
      <c r="G39" s="459"/>
      <c r="H39" s="459"/>
      <c r="I39" s="459"/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59"/>
      <c r="U39" s="459"/>
      <c r="V39" s="459"/>
      <c r="W39" s="459"/>
      <c r="X39" s="459"/>
      <c r="Y39" s="459"/>
      <c r="Z39" s="459"/>
      <c r="AA39" s="459"/>
    </row>
    <row r="40" spans="1:27">
      <c r="A40" s="458"/>
      <c r="B40" s="459"/>
      <c r="C40" s="459"/>
      <c r="D40" s="459"/>
      <c r="E40" s="459"/>
      <c r="F40" s="459"/>
      <c r="G40" s="459"/>
      <c r="H40" s="459"/>
      <c r="I40" s="459"/>
      <c r="J40" s="459"/>
      <c r="K40" s="459"/>
      <c r="L40" s="459"/>
      <c r="M40" s="459"/>
      <c r="N40" s="459"/>
      <c r="O40" s="459"/>
      <c r="P40" s="459"/>
      <c r="Q40" s="459"/>
      <c r="R40" s="459"/>
      <c r="S40" s="459"/>
      <c r="T40" s="459"/>
      <c r="U40" s="459"/>
      <c r="V40" s="459"/>
      <c r="W40" s="459"/>
      <c r="X40" s="459"/>
      <c r="Y40" s="459"/>
      <c r="Z40" s="459"/>
      <c r="AA40" s="459"/>
    </row>
    <row r="41" spans="1:27">
      <c r="A41" s="458"/>
      <c r="B41" s="459"/>
      <c r="C41" s="459"/>
      <c r="D41" s="459"/>
      <c r="E41" s="459"/>
      <c r="F41" s="459"/>
      <c r="G41" s="459"/>
      <c r="H41" s="459"/>
      <c r="I41" s="459"/>
      <c r="J41" s="459"/>
      <c r="K41" s="459"/>
      <c r="L41" s="459"/>
      <c r="M41" s="459"/>
      <c r="N41" s="459"/>
      <c r="O41" s="459"/>
      <c r="P41" s="459"/>
      <c r="Q41" s="459"/>
      <c r="R41" s="459"/>
      <c r="S41" s="459"/>
      <c r="T41" s="459"/>
      <c r="U41" s="459"/>
      <c r="V41" s="459"/>
      <c r="W41" s="459"/>
      <c r="X41" s="459"/>
      <c r="Y41" s="459"/>
      <c r="Z41" s="459"/>
      <c r="AA41" s="459"/>
    </row>
    <row r="42" spans="1:27">
      <c r="A42" s="458"/>
      <c r="B42" s="459"/>
      <c r="C42" s="459"/>
      <c r="D42" s="459"/>
      <c r="E42" s="459"/>
      <c r="F42" s="459"/>
      <c r="G42" s="459"/>
      <c r="H42" s="459"/>
      <c r="I42" s="459"/>
      <c r="J42" s="459"/>
      <c r="K42" s="459"/>
      <c r="L42" s="459"/>
      <c r="M42" s="459"/>
      <c r="N42" s="459"/>
      <c r="O42" s="459"/>
      <c r="P42" s="459"/>
      <c r="Q42" s="459"/>
      <c r="R42" s="459"/>
      <c r="S42" s="459"/>
      <c r="T42" s="459"/>
      <c r="U42" s="459"/>
      <c r="V42" s="459"/>
      <c r="W42" s="459"/>
      <c r="X42" s="459"/>
      <c r="Y42" s="459"/>
      <c r="Z42" s="459"/>
      <c r="AA42" s="459"/>
    </row>
    <row r="43" spans="1:27">
      <c r="A43" s="458"/>
      <c r="B43" s="459"/>
      <c r="C43" s="459"/>
      <c r="D43" s="459"/>
      <c r="E43" s="459"/>
      <c r="F43" s="459"/>
      <c r="G43" s="459"/>
      <c r="H43" s="459"/>
      <c r="I43" s="459"/>
      <c r="J43" s="459"/>
      <c r="K43" s="459"/>
      <c r="L43" s="459"/>
      <c r="M43" s="459"/>
      <c r="N43" s="459"/>
      <c r="O43" s="459"/>
      <c r="P43" s="459"/>
      <c r="Q43" s="459"/>
      <c r="R43" s="459"/>
      <c r="S43" s="459"/>
      <c r="T43" s="459"/>
      <c r="U43" s="459"/>
      <c r="V43" s="459"/>
      <c r="W43" s="459"/>
      <c r="X43" s="459"/>
      <c r="Y43" s="459"/>
      <c r="Z43" s="459"/>
      <c r="AA43" s="459"/>
    </row>
    <row r="44" spans="1:27">
      <c r="A44" s="458"/>
      <c r="B44" s="459"/>
      <c r="C44" s="459"/>
      <c r="D44" s="459"/>
      <c r="E44" s="459"/>
      <c r="F44" s="459"/>
      <c r="G44" s="459"/>
      <c r="H44" s="459"/>
      <c r="I44" s="459"/>
      <c r="J44" s="459"/>
      <c r="K44" s="459"/>
      <c r="L44" s="459"/>
      <c r="M44" s="459"/>
      <c r="N44" s="459"/>
      <c r="O44" s="459"/>
      <c r="P44" s="459"/>
      <c r="Q44" s="459"/>
      <c r="R44" s="459"/>
      <c r="S44" s="459"/>
      <c r="T44" s="459"/>
      <c r="U44" s="459"/>
      <c r="V44" s="459"/>
      <c r="W44" s="459"/>
      <c r="X44" s="459"/>
      <c r="Y44" s="459"/>
      <c r="Z44" s="459"/>
      <c r="AA44" s="459"/>
    </row>
    <row r="45" spans="1:27">
      <c r="A45" s="458"/>
      <c r="B45" s="459"/>
      <c r="C45" s="459"/>
      <c r="D45" s="459"/>
      <c r="E45" s="459"/>
      <c r="F45" s="459"/>
      <c r="G45" s="459"/>
      <c r="H45" s="459"/>
      <c r="I45" s="459"/>
      <c r="J45" s="459"/>
      <c r="K45" s="459"/>
      <c r="L45" s="459"/>
      <c r="M45" s="459"/>
      <c r="N45" s="459"/>
      <c r="O45" s="459"/>
      <c r="P45" s="459"/>
      <c r="Q45" s="459"/>
      <c r="R45" s="459"/>
      <c r="S45" s="459"/>
      <c r="T45" s="459"/>
      <c r="U45" s="459"/>
      <c r="V45" s="459"/>
      <c r="W45" s="459"/>
      <c r="X45" s="459"/>
      <c r="Y45" s="459"/>
      <c r="Z45" s="459"/>
      <c r="AA45" s="459"/>
    </row>
    <row r="46" spans="1:27">
      <c r="A46" s="458"/>
      <c r="B46" s="459"/>
      <c r="C46" s="459"/>
      <c r="D46" s="459"/>
      <c r="E46" s="459"/>
      <c r="F46" s="459"/>
      <c r="G46" s="459"/>
      <c r="H46" s="459"/>
      <c r="I46" s="459"/>
      <c r="J46" s="459"/>
      <c r="K46" s="459"/>
      <c r="L46" s="459"/>
      <c r="M46" s="459"/>
      <c r="N46" s="459"/>
      <c r="O46" s="459"/>
      <c r="P46" s="459"/>
      <c r="Q46" s="459"/>
      <c r="R46" s="459"/>
      <c r="S46" s="459"/>
      <c r="T46" s="459"/>
      <c r="U46" s="459"/>
      <c r="V46" s="459"/>
      <c r="W46" s="459"/>
      <c r="X46" s="459"/>
      <c r="Y46" s="459"/>
      <c r="Z46" s="459"/>
      <c r="AA46" s="459"/>
    </row>
    <row r="47" spans="1:27">
      <c r="A47" s="458"/>
      <c r="B47" s="459"/>
      <c r="C47" s="459"/>
      <c r="D47" s="459"/>
      <c r="E47" s="459"/>
      <c r="F47" s="459"/>
      <c r="G47" s="459"/>
      <c r="H47" s="459"/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59"/>
      <c r="X47" s="459"/>
      <c r="Y47" s="459"/>
      <c r="Z47" s="459"/>
      <c r="AA47" s="459"/>
    </row>
    <row r="48" spans="1:27">
      <c r="A48" s="458"/>
      <c r="B48" s="459"/>
      <c r="C48" s="459"/>
      <c r="D48" s="459"/>
      <c r="E48" s="459"/>
      <c r="F48" s="459"/>
      <c r="G48" s="459"/>
      <c r="H48" s="459"/>
      <c r="I48" s="459"/>
      <c r="J48" s="459"/>
      <c r="K48" s="459"/>
      <c r="L48" s="459"/>
      <c r="M48" s="459"/>
      <c r="N48" s="459"/>
      <c r="O48" s="459"/>
      <c r="P48" s="459"/>
      <c r="Q48" s="459"/>
      <c r="R48" s="459"/>
      <c r="S48" s="459"/>
      <c r="T48" s="459"/>
      <c r="U48" s="459"/>
      <c r="V48" s="459"/>
      <c r="W48" s="459"/>
      <c r="X48" s="459"/>
      <c r="Y48" s="459"/>
      <c r="Z48" s="459"/>
      <c r="AA48" s="459"/>
    </row>
    <row r="49" spans="1:27">
      <c r="A49" s="458"/>
      <c r="B49" s="459"/>
      <c r="C49" s="459"/>
      <c r="D49" s="459"/>
      <c r="E49" s="459"/>
      <c r="F49" s="459"/>
      <c r="G49" s="459"/>
      <c r="H49" s="459"/>
      <c r="I49" s="459"/>
      <c r="J49" s="459"/>
      <c r="K49" s="459"/>
      <c r="L49" s="459"/>
      <c r="M49" s="459"/>
      <c r="N49" s="459"/>
      <c r="O49" s="459"/>
      <c r="P49" s="459"/>
      <c r="Q49" s="459"/>
      <c r="R49" s="459"/>
      <c r="S49" s="459"/>
      <c r="T49" s="459"/>
      <c r="U49" s="459"/>
      <c r="V49" s="459"/>
      <c r="W49" s="459"/>
      <c r="X49" s="459"/>
      <c r="Y49" s="459"/>
      <c r="Z49" s="459"/>
      <c r="AA49" s="459"/>
    </row>
    <row r="50" spans="1:27">
      <c r="A50" s="458"/>
      <c r="B50" s="459"/>
      <c r="C50" s="459"/>
      <c r="D50" s="459"/>
      <c r="E50" s="459"/>
      <c r="F50" s="459"/>
      <c r="G50" s="459"/>
      <c r="H50" s="459"/>
      <c r="I50" s="459"/>
      <c r="J50" s="459"/>
      <c r="K50" s="459"/>
      <c r="L50" s="459"/>
      <c r="M50" s="459"/>
      <c r="N50" s="459"/>
      <c r="O50" s="459"/>
      <c r="P50" s="459"/>
      <c r="Q50" s="459"/>
      <c r="R50" s="459"/>
      <c r="S50" s="459"/>
      <c r="T50" s="459"/>
      <c r="U50" s="459"/>
      <c r="V50" s="459"/>
      <c r="W50" s="459"/>
      <c r="X50" s="459"/>
      <c r="Y50" s="459"/>
      <c r="Z50" s="459"/>
      <c r="AA50" s="459"/>
    </row>
    <row r="51" spans="1:27">
      <c r="A51" s="458"/>
      <c r="B51" s="459"/>
      <c r="C51" s="459"/>
      <c r="D51" s="459"/>
      <c r="E51" s="459"/>
      <c r="F51" s="459"/>
      <c r="G51" s="459"/>
      <c r="H51" s="459"/>
      <c r="I51" s="459"/>
      <c r="J51" s="459"/>
      <c r="K51" s="459"/>
      <c r="L51" s="459"/>
      <c r="M51" s="459"/>
      <c r="N51" s="459"/>
      <c r="O51" s="459"/>
      <c r="P51" s="459"/>
      <c r="Q51" s="459"/>
      <c r="R51" s="459"/>
      <c r="S51" s="459"/>
      <c r="T51" s="459"/>
      <c r="U51" s="459"/>
      <c r="V51" s="459"/>
      <c r="W51" s="459"/>
      <c r="X51" s="459"/>
      <c r="Y51" s="459"/>
      <c r="Z51" s="459"/>
      <c r="AA51" s="459"/>
    </row>
    <row r="52" spans="1:27">
      <c r="A52" s="458"/>
      <c r="B52" s="459"/>
      <c r="C52" s="459"/>
      <c r="D52" s="459"/>
      <c r="E52" s="459"/>
      <c r="F52" s="459"/>
      <c r="G52" s="459"/>
      <c r="H52" s="459"/>
      <c r="I52" s="459"/>
      <c r="J52" s="459"/>
      <c r="K52" s="459"/>
      <c r="L52" s="459"/>
      <c r="M52" s="459"/>
      <c r="N52" s="459"/>
      <c r="O52" s="459"/>
      <c r="P52" s="459"/>
      <c r="Q52" s="459"/>
      <c r="R52" s="459"/>
      <c r="S52" s="459"/>
      <c r="T52" s="459"/>
      <c r="U52" s="459"/>
      <c r="V52" s="459"/>
      <c r="W52" s="459"/>
      <c r="X52" s="459"/>
      <c r="Y52" s="459"/>
      <c r="Z52" s="459"/>
      <c r="AA52" s="459"/>
    </row>
    <row r="53" spans="1:27">
      <c r="A53" s="458"/>
      <c r="B53" s="459"/>
      <c r="C53" s="459"/>
      <c r="D53" s="459"/>
      <c r="E53" s="459"/>
      <c r="F53" s="459"/>
      <c r="G53" s="459"/>
      <c r="H53" s="459"/>
      <c r="I53" s="459"/>
      <c r="J53" s="459"/>
      <c r="K53" s="459"/>
      <c r="L53" s="459"/>
      <c r="M53" s="459"/>
      <c r="N53" s="459"/>
      <c r="O53" s="459"/>
      <c r="P53" s="459"/>
      <c r="Q53" s="459"/>
      <c r="R53" s="459"/>
      <c r="S53" s="459"/>
      <c r="T53" s="459"/>
      <c r="U53" s="459"/>
      <c r="V53" s="459"/>
      <c r="W53" s="459"/>
      <c r="X53" s="459"/>
      <c r="Y53" s="459"/>
      <c r="Z53" s="459"/>
      <c r="AA53" s="459"/>
    </row>
    <row r="54" spans="1:27">
      <c r="A54" s="458"/>
      <c r="B54" s="459"/>
      <c r="C54" s="459"/>
      <c r="D54" s="459"/>
      <c r="E54" s="459"/>
      <c r="F54" s="459"/>
      <c r="G54" s="459"/>
      <c r="H54" s="459"/>
      <c r="I54" s="459"/>
      <c r="J54" s="459"/>
      <c r="K54" s="459"/>
      <c r="L54" s="459"/>
      <c r="M54" s="459"/>
      <c r="N54" s="459"/>
      <c r="O54" s="459"/>
      <c r="P54" s="459"/>
      <c r="Q54" s="459"/>
      <c r="R54" s="459"/>
      <c r="S54" s="459"/>
      <c r="T54" s="459"/>
      <c r="U54" s="459"/>
      <c r="V54" s="459"/>
      <c r="W54" s="459"/>
      <c r="X54" s="459"/>
      <c r="Y54" s="459"/>
      <c r="Z54" s="459"/>
      <c r="AA54" s="459"/>
    </row>
    <row r="55" spans="1:27">
      <c r="A55" s="458"/>
      <c r="B55" s="459"/>
      <c r="C55" s="459"/>
      <c r="D55" s="459"/>
      <c r="E55" s="459"/>
      <c r="F55" s="459"/>
      <c r="G55" s="459"/>
      <c r="H55" s="459"/>
      <c r="I55" s="459"/>
      <c r="J55" s="459"/>
      <c r="K55" s="459"/>
      <c r="L55" s="459"/>
      <c r="M55" s="459"/>
      <c r="N55" s="459"/>
      <c r="O55" s="459"/>
      <c r="P55" s="459"/>
      <c r="Q55" s="459"/>
      <c r="R55" s="459"/>
      <c r="S55" s="459"/>
      <c r="T55" s="459"/>
      <c r="U55" s="459"/>
      <c r="V55" s="459"/>
      <c r="W55" s="459"/>
      <c r="X55" s="459"/>
      <c r="Y55" s="459"/>
      <c r="Z55" s="459"/>
      <c r="AA55" s="459"/>
    </row>
    <row r="56" spans="1:27">
      <c r="A56" s="458"/>
      <c r="B56" s="459"/>
      <c r="C56" s="459"/>
      <c r="D56" s="459"/>
      <c r="E56" s="459"/>
      <c r="F56" s="459"/>
      <c r="G56" s="459"/>
      <c r="H56" s="459"/>
      <c r="I56" s="459"/>
      <c r="J56" s="459"/>
      <c r="K56" s="459"/>
      <c r="L56" s="459"/>
      <c r="M56" s="459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9"/>
      <c r="Y56" s="459"/>
      <c r="Z56" s="459"/>
      <c r="AA56" s="459"/>
    </row>
    <row r="57" spans="1:27">
      <c r="A57" s="458"/>
      <c r="B57" s="459"/>
      <c r="C57" s="459"/>
      <c r="D57" s="459"/>
      <c r="E57" s="459"/>
      <c r="F57" s="459"/>
      <c r="G57" s="459"/>
      <c r="H57" s="459"/>
      <c r="I57" s="459"/>
      <c r="J57" s="459"/>
      <c r="K57" s="459"/>
      <c r="L57" s="459"/>
      <c r="M57" s="459"/>
      <c r="N57" s="459"/>
      <c r="O57" s="459"/>
      <c r="P57" s="459"/>
      <c r="Q57" s="459"/>
      <c r="R57" s="459"/>
      <c r="S57" s="459"/>
      <c r="T57" s="459"/>
      <c r="U57" s="459"/>
      <c r="V57" s="459"/>
      <c r="W57" s="459"/>
      <c r="X57" s="459"/>
      <c r="Y57" s="459"/>
      <c r="Z57" s="459"/>
      <c r="AA57" s="459"/>
    </row>
    <row r="58" spans="1:27">
      <c r="A58" s="458"/>
      <c r="B58" s="459"/>
      <c r="C58" s="459"/>
      <c r="D58" s="459"/>
      <c r="E58" s="459"/>
      <c r="F58" s="459"/>
      <c r="G58" s="459"/>
      <c r="H58" s="459"/>
      <c r="I58" s="459"/>
      <c r="J58" s="459"/>
      <c r="K58" s="459"/>
      <c r="L58" s="459"/>
      <c r="M58" s="459"/>
      <c r="N58" s="459"/>
      <c r="O58" s="459"/>
      <c r="P58" s="459"/>
      <c r="Q58" s="459"/>
      <c r="R58" s="459"/>
      <c r="S58" s="459"/>
      <c r="T58" s="459"/>
      <c r="U58" s="459"/>
      <c r="V58" s="459"/>
      <c r="W58" s="459"/>
      <c r="X58" s="459"/>
      <c r="Y58" s="459"/>
      <c r="Z58" s="459"/>
      <c r="AA58" s="459"/>
    </row>
    <row r="59" spans="1:27">
      <c r="A59" s="458"/>
      <c r="B59" s="459"/>
      <c r="C59" s="459"/>
      <c r="D59" s="459"/>
      <c r="E59" s="459"/>
      <c r="F59" s="459"/>
      <c r="G59" s="459"/>
      <c r="H59" s="459"/>
      <c r="I59" s="459"/>
      <c r="J59" s="459"/>
      <c r="K59" s="459"/>
      <c r="L59" s="459"/>
      <c r="M59" s="459"/>
      <c r="N59" s="459"/>
      <c r="O59" s="459"/>
      <c r="P59" s="459"/>
      <c r="Q59" s="459"/>
      <c r="R59" s="459"/>
      <c r="S59" s="459"/>
      <c r="T59" s="459"/>
      <c r="U59" s="459"/>
      <c r="V59" s="459"/>
      <c r="W59" s="459"/>
      <c r="X59" s="459"/>
      <c r="Y59" s="459"/>
      <c r="Z59" s="459"/>
      <c r="AA59" s="459"/>
    </row>
    <row r="60" spans="1:27">
      <c r="A60" s="458"/>
      <c r="B60" s="459"/>
      <c r="C60" s="459"/>
      <c r="D60" s="459"/>
      <c r="E60" s="459"/>
      <c r="F60" s="459"/>
      <c r="G60" s="459"/>
      <c r="H60" s="459"/>
      <c r="I60" s="459"/>
      <c r="J60" s="459"/>
      <c r="K60" s="459"/>
      <c r="L60" s="459"/>
      <c r="M60" s="459"/>
      <c r="N60" s="459"/>
      <c r="O60" s="459"/>
      <c r="P60" s="459"/>
      <c r="Q60" s="459"/>
      <c r="R60" s="459"/>
      <c r="S60" s="459"/>
      <c r="T60" s="459"/>
      <c r="U60" s="459"/>
      <c r="V60" s="459"/>
      <c r="W60" s="459"/>
      <c r="X60" s="459"/>
      <c r="Y60" s="459"/>
      <c r="Z60" s="459"/>
      <c r="AA60" s="459"/>
    </row>
    <row r="61" spans="1:27">
      <c r="A61" s="458"/>
      <c r="B61" s="459"/>
      <c r="C61" s="459"/>
      <c r="D61" s="459"/>
      <c r="E61" s="459"/>
      <c r="F61" s="459"/>
      <c r="G61" s="459"/>
      <c r="H61" s="459"/>
      <c r="I61" s="459"/>
      <c r="J61" s="459"/>
      <c r="K61" s="459"/>
      <c r="L61" s="459"/>
      <c r="M61" s="459"/>
      <c r="N61" s="459"/>
      <c r="O61" s="459"/>
      <c r="P61" s="459"/>
      <c r="Q61" s="459"/>
      <c r="R61" s="459"/>
      <c r="S61" s="459"/>
      <c r="T61" s="459"/>
      <c r="U61" s="459"/>
      <c r="V61" s="459"/>
      <c r="W61" s="459"/>
      <c r="X61" s="459"/>
      <c r="Y61" s="459"/>
      <c r="Z61" s="459"/>
      <c r="AA61" s="459"/>
    </row>
    <row r="62" spans="1:27">
      <c r="A62" s="458"/>
      <c r="B62" s="459"/>
      <c r="C62" s="459"/>
      <c r="D62" s="459"/>
      <c r="E62" s="459"/>
      <c r="F62" s="459"/>
      <c r="G62" s="459"/>
      <c r="H62" s="459"/>
      <c r="I62" s="459"/>
      <c r="J62" s="459"/>
      <c r="K62" s="459"/>
      <c r="L62" s="459"/>
      <c r="M62" s="459"/>
      <c r="N62" s="459"/>
      <c r="O62" s="459"/>
      <c r="P62" s="459"/>
      <c r="Q62" s="459"/>
      <c r="R62" s="459"/>
      <c r="S62" s="459"/>
      <c r="T62" s="459"/>
      <c r="U62" s="459"/>
      <c r="V62" s="459"/>
      <c r="W62" s="459"/>
      <c r="X62" s="459"/>
      <c r="Y62" s="459"/>
      <c r="Z62" s="459"/>
      <c r="AA62" s="459"/>
    </row>
    <row r="63" spans="1:27">
      <c r="A63" s="460" t="str">
        <f ca="1">CHOOSE(MOD(ROW(),3)+1,"",工资计算!I$2,OFFSET(工资计算!I$2,ROW()/3+1,))</f>
        <v/>
      </c>
      <c r="B63" s="457" t="str">
        <f ca="1">CHOOSE(MOD(ROW(),3)+1,"",工资计算!K$2,OFFSET(工资计算!K$2,ROW()/3+1,))</f>
        <v/>
      </c>
      <c r="C63" s="457" t="str">
        <f ca="1">CHOOSE(MOD(ROW(),3)+1,"",工资计算!L$2,OFFSET(工资计算!L$2,ROW()/3+1,))</f>
        <v/>
      </c>
      <c r="D63" s="457" t="str">
        <f ca="1">CHOOSE(MOD(ROW(),3)+1,"",工资计算!M$2,OFFSET(工资计算!M$2,ROW()/3+1,))</f>
        <v/>
      </c>
      <c r="E63" s="457" t="str">
        <f ca="1">CHOOSE(MOD(ROW(),3)+1,"",工资计算!N$2,OFFSET(工资计算!N$2,ROW()/3+1,))</f>
        <v/>
      </c>
      <c r="F63" s="457" t="str">
        <f ca="1">CHOOSE(MOD(ROW(),3)+1,"",工资计算!O$2,OFFSET(工资计算!O$2,ROW()/3+1,))</f>
        <v/>
      </c>
      <c r="G63" s="457" t="str">
        <f ca="1">CHOOSE(MOD(ROW(),3)+1,"",工资计算!P$2,OFFSET(工资计算!P$2,ROW()/3+1,))</f>
        <v/>
      </c>
      <c r="H63" s="457" t="str">
        <f ca="1">CHOOSE(MOD(ROW(),3)+1,"",工资计算!Q$2,OFFSET(工资计算!Q$2,ROW()/3+1,))</f>
        <v/>
      </c>
      <c r="I63" s="457" t="str">
        <f ca="1">CHOOSE(MOD(ROW(),3)+1,"",工资计算!R$2,OFFSET(工资计算!R$2,ROW()/3+1,))</f>
        <v/>
      </c>
      <c r="J63" s="457" t="str">
        <f ca="1">CHOOSE(MOD(ROW(),3)+1,"",工资计算!S$2,OFFSET(工资计算!S$2,ROW()/3+1,))</f>
        <v/>
      </c>
      <c r="K63" s="457" t="str">
        <f ca="1">CHOOSE(MOD(ROW(),3)+1,"",工资计算!T$2,OFFSET(工资计算!T$2,ROW()/3+1,))</f>
        <v/>
      </c>
      <c r="L63" s="457" t="str">
        <f ca="1">CHOOSE(MOD(ROW(),3)+1,"",工资计算!U$2,OFFSET(工资计算!U$2,ROW()/3+1,))</f>
        <v/>
      </c>
      <c r="M63" s="457" t="str">
        <f ca="1">CHOOSE(MOD(ROW(),3)+1,"",工资计算!V$2,OFFSET(工资计算!V$2,ROW()/3+1,))</f>
        <v/>
      </c>
      <c r="N63" s="457" t="str">
        <f ca="1">CHOOSE(MOD(ROW(),3)+1,"",工资计算!W$2,OFFSET(工资计算!W$2,ROW()/3+1,))</f>
        <v/>
      </c>
      <c r="O63" s="457" t="str">
        <f ca="1">CHOOSE(MOD(ROW(),3)+1,"",工资计算!#REF!,OFFSET(工资计算!#REF!,ROW()/3+1,))</f>
        <v/>
      </c>
      <c r="P63" s="457" t="str">
        <f ca="1">CHOOSE(MOD(ROW(),3)+1,"",工资计算!Y$2,OFFSET(工资计算!Y$2,ROW()/3+1,))</f>
        <v/>
      </c>
      <c r="Q63" s="457" t="str">
        <f ca="1">CHOOSE(MOD(ROW(),3)+1,"",工资计算!Z$2,OFFSET(工资计算!Z$2,ROW()/3+1,))</f>
        <v/>
      </c>
      <c r="R63" s="457" t="str">
        <f ca="1">CHOOSE(MOD(ROW(),3)+1,"",工资计算!AA$2,OFFSET(工资计算!AA$2,ROW()/3+1,))</f>
        <v/>
      </c>
      <c r="S63" s="457" t="str">
        <f ca="1">CHOOSE(MOD(ROW(),3)+1,"",工资计算!AB$2,OFFSET(工资计算!AB$2,ROW()/3+1,))</f>
        <v/>
      </c>
      <c r="T63" s="457" t="str">
        <f ca="1">CHOOSE(MOD(ROW(),3)+1,"",工资计算!AC$2,OFFSET(工资计算!AC$2,ROW()/3+1,))</f>
        <v/>
      </c>
      <c r="U63" s="457" t="str">
        <f ca="1">CHOOSE(MOD(ROW(),3)+1,"",工资计算!AI$2,OFFSET(工资计算!AI$2,ROW()/3+1,))</f>
        <v/>
      </c>
      <c r="V63" s="457" t="str">
        <f ca="1">CHOOSE(MOD(ROW(),3)+1,"",工资计算!AJ$2,OFFSET(工资计算!AJ$2,ROW()/3+1,))</f>
        <v/>
      </c>
      <c r="W63" s="457" t="str">
        <f ca="1">CHOOSE(MOD(ROW(),3)+1,"",工资计算!AM$2,OFFSET(工资计算!AM$2,ROW()/3+1,))</f>
        <v/>
      </c>
    </row>
  </sheetData>
  <phoneticPr fontId="3" type="noConversion"/>
  <printOptions horizontalCentered="1" verticalCentered="1"/>
  <pageMargins left="0.11811023622047245" right="0.11811023622047245" top="0.19685039370078741" bottom="0.15748031496062992" header="0.15748031496062992" footer="0.11811023622047245"/>
  <pageSetup paperSize="9" scale="70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J17"/>
  <sheetViews>
    <sheetView workbookViewId="0"/>
  </sheetViews>
  <sheetFormatPr defaultRowHeight="15"/>
  <sheetData>
    <row r="1" spans="2:10" ht="17.5">
      <c r="B1" s="312" t="s">
        <v>410</v>
      </c>
      <c r="C1" s="449"/>
      <c r="D1" s="449"/>
      <c r="E1" s="449"/>
      <c r="F1" s="449"/>
      <c r="G1" s="449"/>
      <c r="H1" s="449"/>
      <c r="I1" s="449"/>
      <c r="J1" s="449"/>
    </row>
    <row r="2" spans="2:10" ht="15.75" customHeight="1">
      <c r="B2" s="450" t="s">
        <v>411</v>
      </c>
      <c r="C2" s="451"/>
      <c r="D2" s="451"/>
    </row>
    <row r="3" spans="2:10">
      <c r="B3" s="450" t="s">
        <v>412</v>
      </c>
    </row>
    <row r="4" spans="2:10">
      <c r="B4" s="450" t="s">
        <v>413</v>
      </c>
    </row>
    <row r="5" spans="2:10">
      <c r="B5" s="111" t="s">
        <v>414</v>
      </c>
    </row>
    <row r="6" spans="2:10">
      <c r="B6" s="111" t="s">
        <v>415</v>
      </c>
    </row>
    <row r="7" spans="2:10">
      <c r="B7" s="452" t="s">
        <v>416</v>
      </c>
    </row>
    <row r="8" spans="2:10">
      <c r="B8" s="452" t="s">
        <v>417</v>
      </c>
    </row>
    <row r="9" spans="2:10">
      <c r="B9" s="111" t="s">
        <v>418</v>
      </c>
    </row>
    <row r="10" spans="2:10">
      <c r="B10" s="111" t="s">
        <v>419</v>
      </c>
    </row>
    <row r="11" spans="2:10">
      <c r="B11" s="111" t="s">
        <v>420</v>
      </c>
    </row>
    <row r="12" spans="2:10">
      <c r="B12" s="111" t="s">
        <v>421</v>
      </c>
    </row>
    <row r="13" spans="2:10">
      <c r="B13" s="453" t="s">
        <v>424</v>
      </c>
    </row>
    <row r="14" spans="2:10">
      <c r="B14" s="453" t="s">
        <v>422</v>
      </c>
    </row>
    <row r="15" spans="2:10">
      <c r="B15" s="454" t="s">
        <v>423</v>
      </c>
    </row>
    <row r="16" spans="2:10">
      <c r="B16" s="453"/>
    </row>
    <row r="17" spans="2:2" ht="17.5">
      <c r="B17" s="455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89"/>
  <sheetViews>
    <sheetView workbookViewId="0">
      <pane xSplit="3" ySplit="4" topLeftCell="G5" activePane="bottomRight" state="frozen"/>
      <selection pane="topRight" activeCell="B1" sqref="B1"/>
      <selection pane="bottomLeft" activeCell="A5" sqref="A5"/>
      <selection pane="bottomRight" activeCell="A21" sqref="A21"/>
    </sheetView>
  </sheetViews>
  <sheetFormatPr defaultColWidth="8.08203125" defaultRowHeight="21.75" customHeight="1"/>
  <cols>
    <col min="1" max="1" width="27.08203125" style="512" customWidth="1"/>
    <col min="2" max="2" width="11.08203125" style="512" customWidth="1"/>
    <col min="3" max="3" width="12.5" style="512" customWidth="1"/>
    <col min="4" max="4" width="17.75" style="512" bestFit="1" customWidth="1"/>
    <col min="5" max="5" width="10" style="512" customWidth="1"/>
    <col min="6" max="6" width="7.25" style="564" customWidth="1"/>
    <col min="7" max="7" width="13.75" style="565" customWidth="1"/>
    <col min="8" max="12" width="9.25" style="565" bestFit="1" customWidth="1"/>
    <col min="13" max="13" width="7.75" style="566" customWidth="1"/>
    <col min="14" max="14" width="8.08203125" style="566" customWidth="1"/>
    <col min="15" max="15" width="9.25" style="565" customWidth="1"/>
    <col min="16" max="16" width="7.75" style="565" bestFit="1" customWidth="1"/>
    <col min="17" max="17" width="7.58203125" style="566" bestFit="1" customWidth="1"/>
    <col min="18" max="18" width="7.25" style="566" customWidth="1"/>
    <col min="19" max="19" width="8.75" style="565" customWidth="1"/>
    <col min="20" max="20" width="9.25" style="565" customWidth="1"/>
    <col min="21" max="21" width="9.25" style="565" bestFit="1" customWidth="1"/>
    <col min="22" max="22" width="7.58203125" style="565" bestFit="1" customWidth="1"/>
    <col min="23" max="23" width="6.75" style="566" customWidth="1"/>
    <col min="24" max="24" width="6.75" style="565" customWidth="1"/>
    <col min="25" max="25" width="9" style="565" customWidth="1"/>
    <col min="26" max="26" width="5.25" style="565" bestFit="1" customWidth="1"/>
    <col min="27" max="27" width="6.75" style="566" customWidth="1"/>
    <col min="28" max="28" width="6.25" style="566" customWidth="1"/>
    <col min="29" max="29" width="8.25" style="565" bestFit="1" customWidth="1"/>
    <col min="30" max="30" width="7" style="565" bestFit="1" customWidth="1"/>
    <col min="31" max="31" width="6.75" style="566" bestFit="1" customWidth="1"/>
    <col min="32" max="32" width="4.25" style="565" bestFit="1" customWidth="1"/>
    <col min="33" max="33" width="9.25" style="565" bestFit="1" customWidth="1"/>
    <col min="34" max="34" width="6.75" style="565" bestFit="1" customWidth="1"/>
    <col min="35" max="35" width="11.75" style="565" customWidth="1"/>
    <col min="36" max="36" width="9" style="565" customWidth="1"/>
    <col min="37" max="37" width="6.25" style="566" customWidth="1"/>
    <col min="38" max="38" width="6.5" style="565" customWidth="1"/>
    <col min="39" max="39" width="9.25" style="565" bestFit="1" customWidth="1"/>
    <col min="40" max="40" width="6.75" style="565" bestFit="1" customWidth="1"/>
    <col min="41" max="16384" width="8.08203125" style="512"/>
  </cols>
  <sheetData>
    <row r="1" spans="1:41" s="492" customFormat="1" ht="27.75" customHeight="1">
      <c r="C1" s="784" t="s">
        <v>1020</v>
      </c>
      <c r="D1" s="785"/>
      <c r="E1" s="785"/>
      <c r="F1" s="785"/>
      <c r="G1" s="785"/>
      <c r="H1" s="785"/>
      <c r="I1" s="785"/>
      <c r="J1" s="785"/>
      <c r="K1" s="785"/>
      <c r="L1" s="785"/>
      <c r="M1" s="490"/>
      <c r="N1" s="490"/>
      <c r="O1" s="490"/>
      <c r="P1" s="490"/>
      <c r="Q1" s="490"/>
      <c r="R1" s="490"/>
      <c r="S1" s="490"/>
      <c r="T1" s="490"/>
      <c r="U1" s="490"/>
      <c r="V1" s="491"/>
      <c r="W1" s="490"/>
      <c r="X1" s="490"/>
      <c r="Y1" s="490"/>
      <c r="Z1" s="490"/>
      <c r="AA1" s="490"/>
      <c r="AB1" s="490"/>
      <c r="AC1" s="490"/>
      <c r="AD1" s="490"/>
      <c r="AE1" s="490"/>
      <c r="AF1" s="490"/>
      <c r="AG1" s="490"/>
      <c r="AH1" s="490"/>
      <c r="AI1" s="490"/>
      <c r="AJ1" s="490"/>
      <c r="AK1" s="490"/>
      <c r="AL1" s="490"/>
      <c r="AM1" s="490"/>
      <c r="AN1" s="490"/>
    </row>
    <row r="2" spans="1:41" s="494" customFormat="1" ht="21.75" customHeight="1">
      <c r="C2" s="786" t="s">
        <v>442</v>
      </c>
      <c r="D2" s="786"/>
      <c r="E2" s="787" t="s">
        <v>443</v>
      </c>
      <c r="F2" s="790" t="s">
        <v>444</v>
      </c>
      <c r="G2" s="793" t="s">
        <v>445</v>
      </c>
      <c r="H2" s="780" t="s">
        <v>446</v>
      </c>
      <c r="I2" s="780"/>
      <c r="J2" s="780"/>
      <c r="K2" s="780"/>
      <c r="L2" s="780"/>
      <c r="M2" s="780" t="s">
        <v>447</v>
      </c>
      <c r="N2" s="780"/>
      <c r="O2" s="780"/>
      <c r="P2" s="780"/>
      <c r="Q2" s="780" t="s">
        <v>448</v>
      </c>
      <c r="R2" s="780"/>
      <c r="S2" s="780"/>
      <c r="T2" s="780"/>
      <c r="U2" s="493"/>
      <c r="V2" s="493"/>
      <c r="W2" s="780" t="s">
        <v>449</v>
      </c>
      <c r="X2" s="780"/>
      <c r="Y2" s="780"/>
      <c r="Z2" s="780"/>
      <c r="AA2" s="780" t="s">
        <v>450</v>
      </c>
      <c r="AB2" s="780"/>
      <c r="AC2" s="780"/>
      <c r="AD2" s="780"/>
      <c r="AE2" s="780" t="s">
        <v>451</v>
      </c>
      <c r="AF2" s="780"/>
      <c r="AG2" s="780"/>
      <c r="AH2" s="780"/>
      <c r="AI2" s="768" t="s">
        <v>452</v>
      </c>
      <c r="AJ2" s="769"/>
      <c r="AK2" s="780" t="s">
        <v>702</v>
      </c>
      <c r="AL2" s="780"/>
      <c r="AM2" s="780"/>
      <c r="AN2" s="780"/>
    </row>
    <row r="3" spans="1:41" s="494" customFormat="1" ht="21.75" customHeight="1">
      <c r="C3" s="796" t="s">
        <v>453</v>
      </c>
      <c r="D3" s="796" t="s">
        <v>454</v>
      </c>
      <c r="E3" s="788"/>
      <c r="F3" s="791"/>
      <c r="G3" s="794"/>
      <c r="H3" s="780" t="s">
        <v>455</v>
      </c>
      <c r="I3" s="780" t="s">
        <v>456</v>
      </c>
      <c r="J3" s="780" t="s">
        <v>457</v>
      </c>
      <c r="K3" s="780" t="s">
        <v>458</v>
      </c>
      <c r="L3" s="780" t="s">
        <v>459</v>
      </c>
      <c r="M3" s="779" t="s">
        <v>460</v>
      </c>
      <c r="N3" s="779"/>
      <c r="O3" s="780" t="s">
        <v>461</v>
      </c>
      <c r="P3" s="780"/>
      <c r="Q3" s="779" t="s">
        <v>460</v>
      </c>
      <c r="R3" s="779"/>
      <c r="S3" s="780" t="s">
        <v>461</v>
      </c>
      <c r="T3" s="780"/>
      <c r="U3" s="780" t="s">
        <v>462</v>
      </c>
      <c r="V3" s="780"/>
      <c r="W3" s="780" t="s">
        <v>460</v>
      </c>
      <c r="X3" s="780"/>
      <c r="Y3" s="780" t="s">
        <v>461</v>
      </c>
      <c r="Z3" s="780"/>
      <c r="AA3" s="779" t="s">
        <v>460</v>
      </c>
      <c r="AB3" s="779"/>
      <c r="AC3" s="780" t="s">
        <v>461</v>
      </c>
      <c r="AD3" s="780"/>
      <c r="AE3" s="780" t="s">
        <v>460</v>
      </c>
      <c r="AF3" s="780"/>
      <c r="AG3" s="780" t="s">
        <v>461</v>
      </c>
      <c r="AH3" s="780"/>
      <c r="AI3" s="770"/>
      <c r="AJ3" s="771"/>
      <c r="AK3" s="780" t="s">
        <v>460</v>
      </c>
      <c r="AL3" s="780"/>
      <c r="AM3" s="780" t="s">
        <v>461</v>
      </c>
      <c r="AN3" s="780"/>
      <c r="AO3" s="494" t="s">
        <v>1015</v>
      </c>
    </row>
    <row r="4" spans="1:41" s="494" customFormat="1" ht="21.75" customHeight="1">
      <c r="C4" s="796"/>
      <c r="D4" s="796"/>
      <c r="E4" s="789"/>
      <c r="F4" s="792"/>
      <c r="G4" s="795"/>
      <c r="H4" s="780"/>
      <c r="I4" s="780"/>
      <c r="J4" s="780"/>
      <c r="K4" s="780"/>
      <c r="L4" s="780"/>
      <c r="M4" s="495" t="s">
        <v>463</v>
      </c>
      <c r="N4" s="495" t="s">
        <v>464</v>
      </c>
      <c r="O4" s="496" t="s">
        <v>463</v>
      </c>
      <c r="P4" s="496" t="s">
        <v>464</v>
      </c>
      <c r="Q4" s="495" t="s">
        <v>463</v>
      </c>
      <c r="R4" s="495" t="s">
        <v>464</v>
      </c>
      <c r="S4" s="496" t="s">
        <v>463</v>
      </c>
      <c r="T4" s="496" t="s">
        <v>464</v>
      </c>
      <c r="U4" s="496" t="s">
        <v>463</v>
      </c>
      <c r="V4" s="496" t="s">
        <v>464</v>
      </c>
      <c r="W4" s="495" t="s">
        <v>463</v>
      </c>
      <c r="X4" s="496" t="s">
        <v>464</v>
      </c>
      <c r="Y4" s="496" t="s">
        <v>463</v>
      </c>
      <c r="Z4" s="496" t="s">
        <v>464</v>
      </c>
      <c r="AA4" s="495" t="s">
        <v>463</v>
      </c>
      <c r="AB4" s="495" t="s">
        <v>464</v>
      </c>
      <c r="AC4" s="496" t="s">
        <v>463</v>
      </c>
      <c r="AD4" s="496" t="s">
        <v>464</v>
      </c>
      <c r="AE4" s="495" t="s">
        <v>463</v>
      </c>
      <c r="AF4" s="496" t="s">
        <v>464</v>
      </c>
      <c r="AG4" s="496" t="s">
        <v>463</v>
      </c>
      <c r="AH4" s="496" t="s">
        <v>464</v>
      </c>
      <c r="AI4" s="496" t="s">
        <v>463</v>
      </c>
      <c r="AJ4" s="496" t="s">
        <v>464</v>
      </c>
      <c r="AK4" s="495" t="s">
        <v>463</v>
      </c>
      <c r="AL4" s="496" t="s">
        <v>464</v>
      </c>
      <c r="AM4" s="496" t="s">
        <v>463</v>
      </c>
      <c r="AN4" s="496" t="s">
        <v>464</v>
      </c>
    </row>
    <row r="5" spans="1:41" ht="21.75" customHeight="1">
      <c r="A5" s="512" t="str">
        <f>B5&amp;"--"&amp;D5</f>
        <v>北京市--本市城镇、外省市城镇</v>
      </c>
      <c r="B5" s="512" t="s">
        <v>634</v>
      </c>
      <c r="C5" s="783" t="s">
        <v>465</v>
      </c>
      <c r="D5" s="497" t="s">
        <v>466</v>
      </c>
      <c r="E5" s="772" t="s">
        <v>467</v>
      </c>
      <c r="F5" s="773" t="s">
        <v>468</v>
      </c>
      <c r="G5" s="774">
        <v>1560</v>
      </c>
      <c r="H5" s="498">
        <v>2089</v>
      </c>
      <c r="I5" s="498">
        <v>3134</v>
      </c>
      <c r="J5" s="498">
        <v>3134</v>
      </c>
      <c r="K5" s="498">
        <v>2089</v>
      </c>
      <c r="L5" s="498">
        <v>3134</v>
      </c>
      <c r="M5" s="499">
        <v>0.2</v>
      </c>
      <c r="N5" s="499">
        <v>0.08</v>
      </c>
      <c r="O5" s="500">
        <f>M5*H5</f>
        <v>417.8</v>
      </c>
      <c r="P5" s="500">
        <f>N5*H5</f>
        <v>167.12</v>
      </c>
      <c r="Q5" s="501">
        <v>0.1</v>
      </c>
      <c r="R5" s="501">
        <v>0.02</v>
      </c>
      <c r="S5" s="502">
        <f>Q5*I5</f>
        <v>313.40000000000003</v>
      </c>
      <c r="T5" s="502">
        <f>R5*I5</f>
        <v>62.68</v>
      </c>
      <c r="U5" s="503"/>
      <c r="V5" s="503">
        <v>3</v>
      </c>
      <c r="W5" s="504">
        <v>2E-3</v>
      </c>
      <c r="X5" s="505"/>
      <c r="Y5" s="506">
        <f>W5*J5</f>
        <v>6.2679999999999998</v>
      </c>
      <c r="Z5" s="506">
        <f>X5*J5</f>
        <v>0</v>
      </c>
      <c r="AA5" s="507">
        <v>0.01</v>
      </c>
      <c r="AB5" s="507">
        <v>2E-3</v>
      </c>
      <c r="AC5" s="508">
        <f>AA5*K5</f>
        <v>20.89</v>
      </c>
      <c r="AD5" s="508">
        <f>AB5*K5</f>
        <v>4.1779999999999999</v>
      </c>
      <c r="AE5" s="509">
        <v>8.0000000000000002E-3</v>
      </c>
      <c r="AF5" s="509"/>
      <c r="AG5" s="510">
        <f>AE5*L5</f>
        <v>25.071999999999999</v>
      </c>
      <c r="AH5" s="510">
        <f>AF5*L5</f>
        <v>0</v>
      </c>
      <c r="AI5" s="511">
        <f>O5+S5+U5+Y5+AC5+AG5</f>
        <v>783.43000000000006</v>
      </c>
      <c r="AJ5" s="511">
        <f>P5+T5+V5+Z5+AD5+AH5</f>
        <v>236.97800000000001</v>
      </c>
      <c r="AK5" s="509"/>
      <c r="AL5" s="509"/>
      <c r="AM5" s="510">
        <f>AK5*R5</f>
        <v>0</v>
      </c>
      <c r="AN5" s="510">
        <f>AL5*R5</f>
        <v>0</v>
      </c>
    </row>
    <row r="6" spans="1:41" ht="21.75" customHeight="1">
      <c r="A6" s="512" t="str">
        <f t="shared" ref="A6:A58" si="0">B6&amp;"--"&amp;D6</f>
        <v>北京市--本市农户、外省市农户</v>
      </c>
      <c r="B6" s="512" t="s">
        <v>634</v>
      </c>
      <c r="C6" s="783"/>
      <c r="D6" s="497" t="s">
        <v>469</v>
      </c>
      <c r="E6" s="772"/>
      <c r="F6" s="773"/>
      <c r="G6" s="774"/>
      <c r="H6" s="498">
        <v>2089</v>
      </c>
      <c r="I6" s="498">
        <v>3134</v>
      </c>
      <c r="J6" s="498">
        <v>3134</v>
      </c>
      <c r="K6" s="498">
        <v>2089</v>
      </c>
      <c r="L6" s="498">
        <v>3134</v>
      </c>
      <c r="M6" s="499">
        <v>0.2</v>
      </c>
      <c r="N6" s="499">
        <v>0.08</v>
      </c>
      <c r="O6" s="500">
        <f>M6*H6</f>
        <v>417.8</v>
      </c>
      <c r="P6" s="500">
        <f>N6*H6</f>
        <v>167.12</v>
      </c>
      <c r="Q6" s="501">
        <v>0.1</v>
      </c>
      <c r="R6" s="501">
        <v>0.02</v>
      </c>
      <c r="S6" s="502">
        <f>Q6*I6</f>
        <v>313.40000000000003</v>
      </c>
      <c r="T6" s="502">
        <f>R6*I6</f>
        <v>62.68</v>
      </c>
      <c r="U6" s="503"/>
      <c r="V6" s="503">
        <v>3</v>
      </c>
      <c r="W6" s="504">
        <v>2E-3</v>
      </c>
      <c r="X6" s="505"/>
      <c r="Y6" s="506">
        <f>W6*J6</f>
        <v>6.2679999999999998</v>
      </c>
      <c r="Z6" s="506">
        <f>X6*J6</f>
        <v>0</v>
      </c>
      <c r="AA6" s="507">
        <v>0.01</v>
      </c>
      <c r="AB6" s="513">
        <v>0</v>
      </c>
      <c r="AC6" s="508">
        <f>AA6*K6</f>
        <v>20.89</v>
      </c>
      <c r="AD6" s="508">
        <f>AB6*K6</f>
        <v>0</v>
      </c>
      <c r="AE6" s="509">
        <v>8.0000000000000002E-3</v>
      </c>
      <c r="AF6" s="514"/>
      <c r="AG6" s="510">
        <f>AE6*L6</f>
        <v>25.071999999999999</v>
      </c>
      <c r="AH6" s="510">
        <f>AF6*L6</f>
        <v>0</v>
      </c>
      <c r="AI6" s="511">
        <f t="shared" ref="AI6:AJ61" si="1">O6+S6+U6+Y6+AC6+AG6</f>
        <v>783.43000000000006</v>
      </c>
      <c r="AJ6" s="511">
        <f t="shared" si="1"/>
        <v>232.8</v>
      </c>
      <c r="AK6" s="509"/>
      <c r="AL6" s="514"/>
      <c r="AM6" s="510">
        <f>AK6*R6</f>
        <v>0</v>
      </c>
      <c r="AN6" s="510">
        <f>AL6*R6</f>
        <v>0</v>
      </c>
    </row>
    <row r="7" spans="1:41" ht="21.75" customHeight="1">
      <c r="A7" s="512" t="str">
        <f t="shared" si="0"/>
        <v>上海市--城镇户口、本地农户</v>
      </c>
      <c r="B7" s="512" t="s">
        <v>635</v>
      </c>
      <c r="C7" s="781" t="s">
        <v>470</v>
      </c>
      <c r="D7" s="497" t="s">
        <v>471</v>
      </c>
      <c r="E7" s="772" t="s">
        <v>472</v>
      </c>
      <c r="F7" s="773" t="s">
        <v>473</v>
      </c>
      <c r="G7" s="774">
        <v>2190</v>
      </c>
      <c r="H7" s="498">
        <v>3902</v>
      </c>
      <c r="I7" s="498">
        <v>3902</v>
      </c>
      <c r="J7" s="498">
        <v>3902</v>
      </c>
      <c r="K7" s="498">
        <v>3902</v>
      </c>
      <c r="L7" s="498">
        <v>3902</v>
      </c>
      <c r="M7" s="515">
        <v>0.2</v>
      </c>
      <c r="N7" s="515">
        <v>0.08</v>
      </c>
      <c r="O7" s="500">
        <f>H7*M7</f>
        <v>780.40000000000009</v>
      </c>
      <c r="P7" s="500">
        <f>H7*N7</f>
        <v>312.16000000000003</v>
      </c>
      <c r="Q7" s="516">
        <v>0.1</v>
      </c>
      <c r="R7" s="516">
        <v>0.02</v>
      </c>
      <c r="S7" s="502">
        <f>I7*Q7</f>
        <v>390.20000000000005</v>
      </c>
      <c r="T7" s="502">
        <f>I7*R7</f>
        <v>78.040000000000006</v>
      </c>
      <c r="U7" s="503"/>
      <c r="V7" s="503"/>
      <c r="W7" s="517">
        <v>3.2000000000000002E-3</v>
      </c>
      <c r="X7" s="505"/>
      <c r="Y7" s="506">
        <f>J7*W7</f>
        <v>12.4864</v>
      </c>
      <c r="Z7" s="506">
        <f>J7*X7</f>
        <v>0</v>
      </c>
      <c r="AA7" s="513">
        <v>0.01</v>
      </c>
      <c r="AB7" s="513">
        <v>5.0000000000000001E-3</v>
      </c>
      <c r="AC7" s="508">
        <f>K7*AA7</f>
        <v>39.020000000000003</v>
      </c>
      <c r="AD7" s="508">
        <f>K7*AB7</f>
        <v>19.510000000000002</v>
      </c>
      <c r="AE7" s="518">
        <v>0.01</v>
      </c>
      <c r="AF7" s="514"/>
      <c r="AG7" s="510">
        <f>L7*AE7</f>
        <v>39.020000000000003</v>
      </c>
      <c r="AH7" s="510">
        <f>L7*AF7</f>
        <v>0</v>
      </c>
      <c r="AI7" s="511">
        <f t="shared" si="1"/>
        <v>1261.1264000000001</v>
      </c>
      <c r="AJ7" s="511">
        <f t="shared" si="1"/>
        <v>409.71000000000004</v>
      </c>
      <c r="AK7" s="518">
        <v>7.0000000000000007E-2</v>
      </c>
      <c r="AL7" s="569">
        <v>7.0000000000000007E-2</v>
      </c>
      <c r="AM7" s="510">
        <f>R7*AK7</f>
        <v>1.4000000000000002E-3</v>
      </c>
      <c r="AN7" s="510">
        <f>R7*AL7</f>
        <v>1.4000000000000002E-3</v>
      </c>
    </row>
    <row r="8" spans="1:41" ht="21.75" customHeight="1">
      <c r="A8" s="512" t="str">
        <f t="shared" si="0"/>
        <v>上海市--外来农户</v>
      </c>
      <c r="B8" s="512" t="s">
        <v>635</v>
      </c>
      <c r="C8" s="781"/>
      <c r="D8" s="497" t="s">
        <v>474</v>
      </c>
      <c r="E8" s="772"/>
      <c r="F8" s="773"/>
      <c r="G8" s="774"/>
      <c r="H8" s="498">
        <v>3902</v>
      </c>
      <c r="I8" s="498">
        <v>3902</v>
      </c>
      <c r="J8" s="498">
        <v>3902</v>
      </c>
      <c r="K8" s="498">
        <v>0</v>
      </c>
      <c r="L8" s="498">
        <v>0</v>
      </c>
      <c r="M8" s="515">
        <v>0.2</v>
      </c>
      <c r="N8" s="515">
        <v>0.08</v>
      </c>
      <c r="O8" s="500">
        <f>H8*M8</f>
        <v>780.40000000000009</v>
      </c>
      <c r="P8" s="500">
        <f>H8*N8</f>
        <v>312.16000000000003</v>
      </c>
      <c r="Q8" s="516">
        <v>0.1</v>
      </c>
      <c r="R8" s="516">
        <v>0.02</v>
      </c>
      <c r="S8" s="502">
        <f>I8*Q8</f>
        <v>390.20000000000005</v>
      </c>
      <c r="T8" s="502">
        <f>I8*R8</f>
        <v>78.040000000000006</v>
      </c>
      <c r="U8" s="503"/>
      <c r="V8" s="503"/>
      <c r="W8" s="517">
        <v>5.0000000000000001E-3</v>
      </c>
      <c r="X8" s="505"/>
      <c r="Y8" s="506">
        <f>J8*W8</f>
        <v>19.510000000000002</v>
      </c>
      <c r="Z8" s="506">
        <f>J8*X8</f>
        <v>0</v>
      </c>
      <c r="AA8" s="513">
        <v>0.01</v>
      </c>
      <c r="AB8" s="513">
        <v>5.0000000000000001E-3</v>
      </c>
      <c r="AC8" s="519">
        <f>K8*AA8</f>
        <v>0</v>
      </c>
      <c r="AD8" s="508">
        <f>K8*AB8</f>
        <v>0</v>
      </c>
      <c r="AE8" s="518">
        <v>0.01</v>
      </c>
      <c r="AF8" s="514"/>
      <c r="AG8" s="510">
        <f>L8*AE8</f>
        <v>0</v>
      </c>
      <c r="AH8" s="510">
        <f>L8*AF8</f>
        <v>0</v>
      </c>
      <c r="AI8" s="511">
        <f t="shared" si="1"/>
        <v>1190.1100000000001</v>
      </c>
      <c r="AJ8" s="511">
        <f t="shared" si="1"/>
        <v>390.20000000000005</v>
      </c>
      <c r="AK8" s="518">
        <v>7.0000000000000007E-2</v>
      </c>
      <c r="AL8" s="569">
        <v>7.0000000000000007E-2</v>
      </c>
      <c r="AM8" s="510">
        <f>R8*AK8</f>
        <v>1.4000000000000002E-3</v>
      </c>
      <c r="AN8" s="510">
        <f>R8*AL8</f>
        <v>1.4000000000000002E-3</v>
      </c>
    </row>
    <row r="9" spans="1:41" ht="21.75" customHeight="1">
      <c r="A9" s="512" t="str">
        <f t="shared" si="0"/>
        <v>天津市--城镇职工</v>
      </c>
      <c r="B9" s="512" t="s">
        <v>636</v>
      </c>
      <c r="C9" s="782" t="s">
        <v>475</v>
      </c>
      <c r="D9" s="497" t="s">
        <v>476</v>
      </c>
      <c r="E9" s="772" t="s">
        <v>477</v>
      </c>
      <c r="F9" s="773" t="s">
        <v>478</v>
      </c>
      <c r="G9" s="774">
        <v>1680</v>
      </c>
      <c r="H9" s="498">
        <v>2210</v>
      </c>
      <c r="I9" s="498">
        <v>2210</v>
      </c>
      <c r="J9" s="498">
        <v>2210</v>
      </c>
      <c r="K9" s="498">
        <v>2210</v>
      </c>
      <c r="L9" s="498">
        <v>2210</v>
      </c>
      <c r="M9" s="515">
        <v>0.2</v>
      </c>
      <c r="N9" s="515">
        <v>0.08</v>
      </c>
      <c r="O9" s="500">
        <f>H9*M9</f>
        <v>442</v>
      </c>
      <c r="P9" s="500">
        <f>H9*N9</f>
        <v>176.8</v>
      </c>
      <c r="Q9" s="516">
        <v>0.1</v>
      </c>
      <c r="R9" s="516">
        <v>0.02</v>
      </c>
      <c r="S9" s="502">
        <f>I9*Q9</f>
        <v>221</v>
      </c>
      <c r="T9" s="502">
        <f>I9*R9</f>
        <v>44.2</v>
      </c>
      <c r="U9" s="503"/>
      <c r="V9" s="503">
        <f>260/12</f>
        <v>21.666666666666668</v>
      </c>
      <c r="W9" s="517">
        <v>5.0000000000000001E-3</v>
      </c>
      <c r="X9" s="505"/>
      <c r="Y9" s="506">
        <f>J9*W9</f>
        <v>11.05</v>
      </c>
      <c r="Z9" s="506">
        <f>J9*X9</f>
        <v>0</v>
      </c>
      <c r="AA9" s="513">
        <v>0.02</v>
      </c>
      <c r="AB9" s="513">
        <v>0.01</v>
      </c>
      <c r="AC9" s="508">
        <f>K9*AA9</f>
        <v>44.2</v>
      </c>
      <c r="AD9" s="508">
        <f>K9*AB9</f>
        <v>22.1</v>
      </c>
      <c r="AE9" s="518">
        <v>8.0000000000000002E-3</v>
      </c>
      <c r="AF9" s="514"/>
      <c r="AG9" s="510">
        <f>L9*AE9</f>
        <v>17.68</v>
      </c>
      <c r="AH9" s="510">
        <f>L9*AF9</f>
        <v>0</v>
      </c>
      <c r="AI9" s="511">
        <f t="shared" si="1"/>
        <v>735.93</v>
      </c>
      <c r="AJ9" s="511">
        <f t="shared" si="1"/>
        <v>264.76666666666665</v>
      </c>
      <c r="AK9" s="518"/>
      <c r="AL9" s="514"/>
      <c r="AM9" s="510">
        <f>R9*AK9</f>
        <v>0</v>
      </c>
      <c r="AN9" s="510">
        <f>R9*AL9</f>
        <v>0</v>
      </c>
    </row>
    <row r="10" spans="1:41" ht="21.75" customHeight="1">
      <c r="A10" s="512" t="str">
        <f t="shared" si="0"/>
        <v>天津市--农村职工</v>
      </c>
      <c r="B10" s="512" t="s">
        <v>636</v>
      </c>
      <c r="C10" s="782"/>
      <c r="D10" s="497" t="s">
        <v>479</v>
      </c>
      <c r="E10" s="772"/>
      <c r="F10" s="773"/>
      <c r="G10" s="774"/>
      <c r="H10" s="498">
        <v>1500</v>
      </c>
      <c r="I10" s="498">
        <v>1500</v>
      </c>
      <c r="J10" s="498">
        <v>1500</v>
      </c>
      <c r="K10" s="498" t="s">
        <v>480</v>
      </c>
      <c r="L10" s="498" t="s">
        <v>480</v>
      </c>
      <c r="M10" s="515">
        <v>0.2</v>
      </c>
      <c r="N10" s="515">
        <v>0.08</v>
      </c>
      <c r="O10" s="500">
        <f>H10*M10</f>
        <v>300</v>
      </c>
      <c r="P10" s="500">
        <f>H10*N10</f>
        <v>120</v>
      </c>
      <c r="Q10" s="516">
        <v>7.2999999999999995E-2</v>
      </c>
      <c r="R10" s="516"/>
      <c r="S10" s="502">
        <f>I10*Q10</f>
        <v>109.5</v>
      </c>
      <c r="T10" s="502">
        <f>I10*R10</f>
        <v>0</v>
      </c>
      <c r="U10" s="503"/>
      <c r="V10" s="503">
        <f>260/12</f>
        <v>21.666666666666668</v>
      </c>
      <c r="W10" s="517">
        <v>5.0000000000000001E-3</v>
      </c>
      <c r="X10" s="505"/>
      <c r="Y10" s="506">
        <f>J10*W10</f>
        <v>7.5</v>
      </c>
      <c r="Z10" s="506">
        <f>J10*X10</f>
        <v>0</v>
      </c>
      <c r="AA10" s="513"/>
      <c r="AB10" s="513"/>
      <c r="AC10" s="508" t="e">
        <f>K10*AA10</f>
        <v>#VALUE!</v>
      </c>
      <c r="AD10" s="508" t="e">
        <f>K10*AB10</f>
        <v>#VALUE!</v>
      </c>
      <c r="AE10" s="518"/>
      <c r="AF10" s="514"/>
      <c r="AG10" s="510" t="e">
        <f>L10*AE10</f>
        <v>#VALUE!</v>
      </c>
      <c r="AH10" s="510" t="e">
        <f>L10*AF10</f>
        <v>#VALUE!</v>
      </c>
      <c r="AI10" s="511" t="e">
        <f t="shared" si="1"/>
        <v>#VALUE!</v>
      </c>
      <c r="AJ10" s="511" t="e">
        <f t="shared" si="1"/>
        <v>#VALUE!</v>
      </c>
      <c r="AK10" s="518"/>
      <c r="AL10" s="514"/>
      <c r="AM10" s="510">
        <f>R10*AK10</f>
        <v>0</v>
      </c>
      <c r="AN10" s="510">
        <f>R10*AL10</f>
        <v>0</v>
      </c>
    </row>
    <row r="11" spans="1:41" ht="21.75" customHeight="1">
      <c r="A11" s="512" t="str">
        <f t="shared" si="0"/>
        <v>重庆市--城镇职工</v>
      </c>
      <c r="B11" s="512" t="s">
        <v>637</v>
      </c>
      <c r="C11" s="520" t="s">
        <v>481</v>
      </c>
      <c r="D11" s="497" t="s">
        <v>476</v>
      </c>
      <c r="E11" s="497" t="s">
        <v>482</v>
      </c>
      <c r="F11" s="521" t="s">
        <v>483</v>
      </c>
      <c r="G11" s="522">
        <v>1250</v>
      </c>
      <c r="H11" s="498">
        <v>1513</v>
      </c>
      <c r="I11" s="498">
        <v>1513</v>
      </c>
      <c r="J11" s="498">
        <v>1513</v>
      </c>
      <c r="K11" s="498">
        <v>1513</v>
      </c>
      <c r="L11" s="498">
        <v>1513</v>
      </c>
      <c r="M11" s="515">
        <v>0.2</v>
      </c>
      <c r="N11" s="515">
        <v>0.08</v>
      </c>
      <c r="O11" s="500">
        <f>H11*M11</f>
        <v>302.60000000000002</v>
      </c>
      <c r="P11" s="500">
        <f>H11*N11</f>
        <v>121.04</v>
      </c>
      <c r="Q11" s="516">
        <v>0.09</v>
      </c>
      <c r="R11" s="516">
        <v>0.02</v>
      </c>
      <c r="S11" s="502">
        <f>I11*Q11</f>
        <v>136.16999999999999</v>
      </c>
      <c r="T11" s="502">
        <f>I11*R11</f>
        <v>30.26</v>
      </c>
      <c r="U11" s="503"/>
      <c r="V11" s="503">
        <v>2</v>
      </c>
      <c r="W11" s="517">
        <v>5.0000000000000001E-3</v>
      </c>
      <c r="X11" s="505"/>
      <c r="Y11" s="506">
        <f>J11*W11</f>
        <v>7.5650000000000004</v>
      </c>
      <c r="Z11" s="506">
        <f>J11*X11</f>
        <v>0</v>
      </c>
      <c r="AA11" s="513">
        <v>0.02</v>
      </c>
      <c r="AB11" s="513">
        <v>0.01</v>
      </c>
      <c r="AC11" s="508">
        <f>K11*AA104</f>
        <v>0</v>
      </c>
      <c r="AD11" s="508">
        <f>K11*AB11</f>
        <v>15.13</v>
      </c>
      <c r="AE11" s="518">
        <v>7.0000000000000001E-3</v>
      </c>
      <c r="AF11" s="514"/>
      <c r="AG11" s="510">
        <f>L11*AE11</f>
        <v>10.591000000000001</v>
      </c>
      <c r="AH11" s="510">
        <f>L11*AF11</f>
        <v>0</v>
      </c>
      <c r="AI11" s="511">
        <f t="shared" si="1"/>
        <v>456.92599999999999</v>
      </c>
      <c r="AJ11" s="511">
        <f t="shared" si="1"/>
        <v>168.43</v>
      </c>
      <c r="AK11" s="518"/>
      <c r="AL11" s="514"/>
      <c r="AM11" s="510">
        <f>R11*AK11</f>
        <v>0</v>
      </c>
      <c r="AN11" s="510">
        <f>R11*AL11</f>
        <v>0</v>
      </c>
    </row>
    <row r="12" spans="1:41" ht="21.75" customHeight="1">
      <c r="A12" s="512" t="str">
        <f t="shared" si="0"/>
        <v>苏州市--城镇职工</v>
      </c>
      <c r="B12" s="512" t="s">
        <v>638</v>
      </c>
      <c r="C12" s="497" t="s">
        <v>484</v>
      </c>
      <c r="D12" s="497" t="s">
        <v>476</v>
      </c>
      <c r="E12" s="497" t="s">
        <v>472</v>
      </c>
      <c r="F12" s="521" t="s">
        <v>485</v>
      </c>
      <c r="G12" s="522">
        <v>1480</v>
      </c>
      <c r="H12" s="498">
        <v>2170</v>
      </c>
      <c r="I12" s="498">
        <v>2170</v>
      </c>
      <c r="J12" s="498">
        <v>2170</v>
      </c>
      <c r="K12" s="498">
        <v>2170</v>
      </c>
      <c r="L12" s="498">
        <v>2170</v>
      </c>
      <c r="M12" s="515">
        <v>0.2</v>
      </c>
      <c r="N12" s="515">
        <v>0.08</v>
      </c>
      <c r="O12" s="500">
        <f t="shared" ref="O12:O61" si="2">H12*M12</f>
        <v>434</v>
      </c>
      <c r="P12" s="500">
        <f t="shared" ref="P12:P61" si="3">H12*N12</f>
        <v>173.6</v>
      </c>
      <c r="Q12" s="516">
        <v>0.09</v>
      </c>
      <c r="R12" s="516">
        <v>0.02</v>
      </c>
      <c r="S12" s="502">
        <f t="shared" ref="S12:S61" si="4">I12*Q12</f>
        <v>195.29999999999998</v>
      </c>
      <c r="T12" s="502">
        <f t="shared" ref="T12:T61" si="5">I12*R12</f>
        <v>43.4</v>
      </c>
      <c r="U12" s="503"/>
      <c r="V12" s="503">
        <v>5</v>
      </c>
      <c r="W12" s="517">
        <v>0.01</v>
      </c>
      <c r="X12" s="505"/>
      <c r="Y12" s="506">
        <f t="shared" ref="Y12:Y61" si="6">J12*W12</f>
        <v>21.7</v>
      </c>
      <c r="Z12" s="506">
        <f t="shared" ref="Z12:Z61" si="7">J12*X12</f>
        <v>0</v>
      </c>
      <c r="AA12" s="513">
        <v>0.02</v>
      </c>
      <c r="AB12" s="513">
        <v>0.01</v>
      </c>
      <c r="AC12" s="508">
        <f t="shared" ref="AC12:AC61" si="8">K12*AA12</f>
        <v>43.4</v>
      </c>
      <c r="AD12" s="508">
        <f t="shared" ref="AD12:AD61" si="9">K12*AB12</f>
        <v>21.7</v>
      </c>
      <c r="AE12" s="518">
        <v>0.01</v>
      </c>
      <c r="AF12" s="514"/>
      <c r="AG12" s="510">
        <f t="shared" ref="AG12:AG73" si="10">L12*AE12</f>
        <v>21.7</v>
      </c>
      <c r="AH12" s="510">
        <f t="shared" ref="AH12:AH73" si="11">L12*AF12</f>
        <v>0</v>
      </c>
      <c r="AI12" s="511">
        <f t="shared" si="1"/>
        <v>716.1</v>
      </c>
      <c r="AJ12" s="511">
        <f t="shared" si="1"/>
        <v>243.7</v>
      </c>
      <c r="AK12" s="518"/>
      <c r="AL12" s="514"/>
      <c r="AM12" s="510">
        <f t="shared" ref="AM12:AM47" si="12">R12*AK12</f>
        <v>0</v>
      </c>
      <c r="AN12" s="510">
        <f t="shared" ref="AN12:AN43" si="13">R12*AL12</f>
        <v>0</v>
      </c>
    </row>
    <row r="13" spans="1:41" ht="21.75" customHeight="1">
      <c r="A13" s="512" t="str">
        <f t="shared" si="0"/>
        <v>镇江市--城镇职工</v>
      </c>
      <c r="B13" s="512" t="s">
        <v>639</v>
      </c>
      <c r="C13" s="497" t="s">
        <v>486</v>
      </c>
      <c r="D13" s="497" t="s">
        <v>476</v>
      </c>
      <c r="E13" s="497" t="s">
        <v>482</v>
      </c>
      <c r="F13" s="521" t="s">
        <v>487</v>
      </c>
      <c r="G13" s="522">
        <v>1320</v>
      </c>
      <c r="H13" s="498">
        <v>2726</v>
      </c>
      <c r="I13" s="498">
        <v>2726</v>
      </c>
      <c r="J13" s="498">
        <v>2726</v>
      </c>
      <c r="K13" s="498">
        <v>2726</v>
      </c>
      <c r="L13" s="498">
        <v>2726</v>
      </c>
      <c r="M13" s="515">
        <v>0.2</v>
      </c>
      <c r="N13" s="515">
        <v>0.08</v>
      </c>
      <c r="O13" s="500">
        <f t="shared" si="2"/>
        <v>545.20000000000005</v>
      </c>
      <c r="P13" s="500">
        <f t="shared" si="3"/>
        <v>218.08</v>
      </c>
      <c r="Q13" s="516">
        <v>0.09</v>
      </c>
      <c r="R13" s="516">
        <v>2.5000000000000001E-2</v>
      </c>
      <c r="S13" s="502">
        <f t="shared" si="4"/>
        <v>245.34</v>
      </c>
      <c r="T13" s="502">
        <f t="shared" si="5"/>
        <v>68.150000000000006</v>
      </c>
      <c r="U13" s="503"/>
      <c r="V13" s="503"/>
      <c r="W13" s="517">
        <v>8.0000000000000002E-3</v>
      </c>
      <c r="X13" s="505"/>
      <c r="Y13" s="506">
        <f t="shared" si="6"/>
        <v>21.808</v>
      </c>
      <c r="Z13" s="506">
        <f t="shared" si="7"/>
        <v>0</v>
      </c>
      <c r="AA13" s="513">
        <v>0.02</v>
      </c>
      <c r="AB13" s="513">
        <v>5.0000000000000001E-3</v>
      </c>
      <c r="AC13" s="508">
        <f t="shared" si="8"/>
        <v>54.52</v>
      </c>
      <c r="AD13" s="508">
        <f t="shared" si="9"/>
        <v>13.63</v>
      </c>
      <c r="AE13" s="518">
        <v>5.0000000000000001E-3</v>
      </c>
      <c r="AF13" s="514"/>
      <c r="AG13" s="510">
        <f t="shared" si="10"/>
        <v>13.63</v>
      </c>
      <c r="AH13" s="510">
        <f t="shared" si="11"/>
        <v>0</v>
      </c>
      <c r="AI13" s="511">
        <f t="shared" si="1"/>
        <v>880.49800000000005</v>
      </c>
      <c r="AJ13" s="511">
        <f t="shared" si="1"/>
        <v>299.86</v>
      </c>
      <c r="AK13" s="518" t="s">
        <v>1014</v>
      </c>
      <c r="AL13" s="569">
        <v>0.1</v>
      </c>
      <c r="AM13" s="510" t="e">
        <f>R13*AK13</f>
        <v>#VALUE!</v>
      </c>
      <c r="AN13" s="510">
        <f>R13*AL13</f>
        <v>2.5000000000000005E-3</v>
      </c>
      <c r="AO13" s="512">
        <v>1630</v>
      </c>
    </row>
    <row r="14" spans="1:41" ht="21.75" customHeight="1">
      <c r="A14" s="512" t="str">
        <f t="shared" si="0"/>
        <v>昆山市--城镇职工</v>
      </c>
      <c r="B14" s="512" t="s">
        <v>640</v>
      </c>
      <c r="C14" s="497" t="s">
        <v>488</v>
      </c>
      <c r="D14" s="497" t="s">
        <v>476</v>
      </c>
      <c r="E14" s="497" t="s">
        <v>489</v>
      </c>
      <c r="F14" s="521" t="s">
        <v>485</v>
      </c>
      <c r="G14" s="522">
        <v>1530</v>
      </c>
      <c r="H14" s="498">
        <v>1530</v>
      </c>
      <c r="I14" s="498">
        <v>1530</v>
      </c>
      <c r="J14" s="498">
        <v>1530</v>
      </c>
      <c r="K14" s="498">
        <v>1530</v>
      </c>
      <c r="L14" s="498">
        <v>1530</v>
      </c>
      <c r="M14" s="515">
        <v>0.2</v>
      </c>
      <c r="N14" s="515">
        <v>0.08</v>
      </c>
      <c r="O14" s="500">
        <f t="shared" si="2"/>
        <v>306</v>
      </c>
      <c r="P14" s="500">
        <f t="shared" si="3"/>
        <v>122.4</v>
      </c>
      <c r="Q14" s="516">
        <v>0.08</v>
      </c>
      <c r="R14" s="516">
        <v>0.02</v>
      </c>
      <c r="S14" s="502">
        <f t="shared" si="4"/>
        <v>122.4</v>
      </c>
      <c r="T14" s="502">
        <f t="shared" si="5"/>
        <v>30.6</v>
      </c>
      <c r="U14" s="503"/>
      <c r="V14" s="503">
        <v>5</v>
      </c>
      <c r="W14" s="517">
        <v>0.01</v>
      </c>
      <c r="X14" s="505"/>
      <c r="Y14" s="506">
        <f t="shared" si="6"/>
        <v>15.3</v>
      </c>
      <c r="Z14" s="506">
        <f t="shared" si="7"/>
        <v>0</v>
      </c>
      <c r="AA14" s="513">
        <v>0.02</v>
      </c>
      <c r="AB14" s="513">
        <v>0.01</v>
      </c>
      <c r="AC14" s="508">
        <f t="shared" si="8"/>
        <v>30.6</v>
      </c>
      <c r="AD14" s="508">
        <f t="shared" si="9"/>
        <v>15.3</v>
      </c>
      <c r="AE14" s="518">
        <v>0.01</v>
      </c>
      <c r="AF14" s="514"/>
      <c r="AG14" s="510">
        <f t="shared" si="10"/>
        <v>15.3</v>
      </c>
      <c r="AH14" s="510">
        <f t="shared" si="11"/>
        <v>0</v>
      </c>
      <c r="AI14" s="511">
        <f t="shared" si="1"/>
        <v>489.6</v>
      </c>
      <c r="AJ14" s="511">
        <f t="shared" si="1"/>
        <v>173.3</v>
      </c>
      <c r="AK14" s="518"/>
      <c r="AL14" s="514"/>
      <c r="AM14" s="510">
        <f t="shared" si="12"/>
        <v>0</v>
      </c>
      <c r="AN14" s="510">
        <f t="shared" si="13"/>
        <v>0</v>
      </c>
    </row>
    <row r="15" spans="1:41" ht="21.75" customHeight="1">
      <c r="A15" s="512" t="str">
        <f t="shared" si="0"/>
        <v>南京市--城镇职工</v>
      </c>
      <c r="B15" s="512" t="s">
        <v>641</v>
      </c>
      <c r="C15" s="497" t="s">
        <v>490</v>
      </c>
      <c r="D15" s="497" t="s">
        <v>476</v>
      </c>
      <c r="E15" s="497" t="s">
        <v>482</v>
      </c>
      <c r="F15" s="521" t="s">
        <v>491</v>
      </c>
      <c r="G15" s="522">
        <v>1640</v>
      </c>
      <c r="H15" s="498">
        <v>2200</v>
      </c>
      <c r="I15" s="498">
        <v>2200</v>
      </c>
      <c r="J15" s="498">
        <v>2200</v>
      </c>
      <c r="K15" s="498">
        <v>2200</v>
      </c>
      <c r="L15" s="498">
        <v>2200</v>
      </c>
      <c r="M15" s="515">
        <v>0.2</v>
      </c>
      <c r="N15" s="515">
        <v>0.08</v>
      </c>
      <c r="O15" s="500">
        <f t="shared" si="2"/>
        <v>440</v>
      </c>
      <c r="P15" s="500">
        <f t="shared" si="3"/>
        <v>176</v>
      </c>
      <c r="Q15" s="516">
        <v>0.09</v>
      </c>
      <c r="R15" s="516">
        <v>0.02</v>
      </c>
      <c r="S15" s="502">
        <f t="shared" si="4"/>
        <v>198</v>
      </c>
      <c r="T15" s="502">
        <f t="shared" si="5"/>
        <v>44</v>
      </c>
      <c r="U15" s="503"/>
      <c r="V15" s="503">
        <v>10</v>
      </c>
      <c r="W15" s="517">
        <v>5.0000000000000001E-3</v>
      </c>
      <c r="X15" s="505"/>
      <c r="Y15" s="506">
        <f t="shared" si="6"/>
        <v>11</v>
      </c>
      <c r="Z15" s="506">
        <f t="shared" si="7"/>
        <v>0</v>
      </c>
      <c r="AA15" s="513">
        <v>0.02</v>
      </c>
      <c r="AB15" s="513">
        <v>0.01</v>
      </c>
      <c r="AC15" s="508">
        <f t="shared" si="8"/>
        <v>44</v>
      </c>
      <c r="AD15" s="508">
        <f t="shared" si="9"/>
        <v>22</v>
      </c>
      <c r="AE15" s="518">
        <v>8.0000000000000002E-3</v>
      </c>
      <c r="AF15" s="514"/>
      <c r="AG15" s="510">
        <f t="shared" si="10"/>
        <v>17.600000000000001</v>
      </c>
      <c r="AH15" s="510">
        <f t="shared" si="11"/>
        <v>0</v>
      </c>
      <c r="AI15" s="511">
        <f t="shared" si="1"/>
        <v>710.6</v>
      </c>
      <c r="AJ15" s="511">
        <f t="shared" si="1"/>
        <v>252</v>
      </c>
      <c r="AK15" s="518"/>
      <c r="AL15" s="514"/>
      <c r="AM15" s="510">
        <f t="shared" si="12"/>
        <v>0</v>
      </c>
      <c r="AN15" s="510">
        <f t="shared" si="13"/>
        <v>0</v>
      </c>
    </row>
    <row r="16" spans="1:41" ht="21.75" customHeight="1">
      <c r="A16" s="512" t="str">
        <f t="shared" si="0"/>
        <v>常熟市--城镇职工</v>
      </c>
      <c r="B16" s="512" t="s">
        <v>642</v>
      </c>
      <c r="C16" s="497" t="s">
        <v>492</v>
      </c>
      <c r="D16" s="497" t="s">
        <v>476</v>
      </c>
      <c r="E16" s="497" t="s">
        <v>482</v>
      </c>
      <c r="F16" s="521" t="s">
        <v>485</v>
      </c>
      <c r="G16" s="522">
        <v>1640</v>
      </c>
      <c r="H16" s="498">
        <v>1583</v>
      </c>
      <c r="I16" s="498">
        <v>1583</v>
      </c>
      <c r="J16" s="498">
        <v>1583</v>
      </c>
      <c r="K16" s="498">
        <v>1583</v>
      </c>
      <c r="L16" s="498">
        <v>1583</v>
      </c>
      <c r="M16" s="515">
        <v>0.2</v>
      </c>
      <c r="N16" s="515">
        <v>0.08</v>
      </c>
      <c r="O16" s="500">
        <f t="shared" si="2"/>
        <v>316.60000000000002</v>
      </c>
      <c r="P16" s="500">
        <f t="shared" si="3"/>
        <v>126.64</v>
      </c>
      <c r="Q16" s="516">
        <v>8.5000000000000006E-2</v>
      </c>
      <c r="R16" s="516">
        <v>0.02</v>
      </c>
      <c r="S16" s="502">
        <f t="shared" si="4"/>
        <v>134.55500000000001</v>
      </c>
      <c r="T16" s="502">
        <f t="shared" si="5"/>
        <v>31.66</v>
      </c>
      <c r="U16" s="503"/>
      <c r="V16" s="503">
        <v>5</v>
      </c>
      <c r="W16" s="517">
        <v>0.01</v>
      </c>
      <c r="X16" s="505"/>
      <c r="Y16" s="506">
        <f t="shared" si="6"/>
        <v>15.83</v>
      </c>
      <c r="Z16" s="506">
        <f t="shared" si="7"/>
        <v>0</v>
      </c>
      <c r="AA16" s="513">
        <v>0.02</v>
      </c>
      <c r="AB16" s="513">
        <v>0.01</v>
      </c>
      <c r="AC16" s="508">
        <f t="shared" si="8"/>
        <v>31.66</v>
      </c>
      <c r="AD16" s="508">
        <f t="shared" si="9"/>
        <v>15.83</v>
      </c>
      <c r="AE16" s="518">
        <v>0.01</v>
      </c>
      <c r="AF16" s="514"/>
      <c r="AG16" s="510">
        <f t="shared" si="10"/>
        <v>15.83</v>
      </c>
      <c r="AH16" s="510">
        <f t="shared" si="11"/>
        <v>0</v>
      </c>
      <c r="AI16" s="511">
        <f t="shared" si="1"/>
        <v>514.47500000000002</v>
      </c>
      <c r="AJ16" s="511">
        <f t="shared" si="1"/>
        <v>179.13000000000002</v>
      </c>
      <c r="AK16" s="518"/>
      <c r="AL16" s="514"/>
      <c r="AM16" s="510">
        <f t="shared" si="12"/>
        <v>0</v>
      </c>
      <c r="AN16" s="510">
        <f t="shared" si="13"/>
        <v>0</v>
      </c>
    </row>
    <row r="17" spans="1:40" ht="21.75" customHeight="1">
      <c r="A17" s="512" t="str">
        <f t="shared" si="0"/>
        <v>无锡市--城镇职工</v>
      </c>
      <c r="B17" s="512" t="s">
        <v>643</v>
      </c>
      <c r="C17" s="497" t="s">
        <v>493</v>
      </c>
      <c r="D17" s="497" t="s">
        <v>476</v>
      </c>
      <c r="E17" s="497" t="s">
        <v>482</v>
      </c>
      <c r="F17" s="521" t="s">
        <v>494</v>
      </c>
      <c r="G17" s="522">
        <v>1640</v>
      </c>
      <c r="H17" s="498">
        <v>2299</v>
      </c>
      <c r="I17" s="498">
        <v>2299</v>
      </c>
      <c r="J17" s="498">
        <v>2299</v>
      </c>
      <c r="K17" s="498">
        <v>2299</v>
      </c>
      <c r="L17" s="498">
        <v>2299</v>
      </c>
      <c r="M17" s="515">
        <v>0.2</v>
      </c>
      <c r="N17" s="515">
        <v>0.08</v>
      </c>
      <c r="O17" s="500">
        <f t="shared" si="2"/>
        <v>459.8</v>
      </c>
      <c r="P17" s="500">
        <f t="shared" si="3"/>
        <v>183.92000000000002</v>
      </c>
      <c r="Q17" s="516">
        <v>8.2000000000000003E-2</v>
      </c>
      <c r="R17" s="516">
        <v>0.02</v>
      </c>
      <c r="S17" s="502">
        <f t="shared" si="4"/>
        <v>188.518</v>
      </c>
      <c r="T17" s="502">
        <f t="shared" si="5"/>
        <v>45.980000000000004</v>
      </c>
      <c r="U17" s="503"/>
      <c r="V17" s="503"/>
      <c r="W17" s="517">
        <v>8.0000000000000002E-3</v>
      </c>
      <c r="X17" s="505"/>
      <c r="Y17" s="506">
        <f t="shared" si="6"/>
        <v>18.391999999999999</v>
      </c>
      <c r="Z17" s="506">
        <f t="shared" si="7"/>
        <v>0</v>
      </c>
      <c r="AA17" s="513">
        <v>0.01</v>
      </c>
      <c r="AB17" s="513">
        <v>0.01</v>
      </c>
      <c r="AC17" s="508">
        <f t="shared" si="8"/>
        <v>22.990000000000002</v>
      </c>
      <c r="AD17" s="508">
        <f t="shared" si="9"/>
        <v>22.990000000000002</v>
      </c>
      <c r="AE17" s="518">
        <v>8.9999999999999993E-3</v>
      </c>
      <c r="AF17" s="514"/>
      <c r="AG17" s="510">
        <f t="shared" si="10"/>
        <v>20.690999999999999</v>
      </c>
      <c r="AH17" s="510">
        <f t="shared" si="11"/>
        <v>0</v>
      </c>
      <c r="AI17" s="511">
        <f t="shared" si="1"/>
        <v>710.39100000000008</v>
      </c>
      <c r="AJ17" s="511">
        <f t="shared" si="1"/>
        <v>252.89000000000004</v>
      </c>
      <c r="AK17" s="518"/>
      <c r="AL17" s="514"/>
      <c r="AM17" s="510">
        <f t="shared" si="12"/>
        <v>0</v>
      </c>
      <c r="AN17" s="510">
        <f t="shared" si="13"/>
        <v>0</v>
      </c>
    </row>
    <row r="18" spans="1:40" ht="21.75" customHeight="1">
      <c r="A18" s="512" t="str">
        <f t="shared" si="0"/>
        <v>连云港市--城镇职工</v>
      </c>
      <c r="B18" s="512" t="s">
        <v>644</v>
      </c>
      <c r="C18" s="497" t="s">
        <v>495</v>
      </c>
      <c r="D18" s="497" t="s">
        <v>476</v>
      </c>
      <c r="E18" s="497" t="s">
        <v>482</v>
      </c>
      <c r="F18" s="521" t="s">
        <v>496</v>
      </c>
      <c r="G18" s="522">
        <v>1280</v>
      </c>
      <c r="H18" s="498">
        <v>2025</v>
      </c>
      <c r="I18" s="498">
        <v>2025</v>
      </c>
      <c r="J18" s="498">
        <v>2025</v>
      </c>
      <c r="K18" s="498">
        <v>2025</v>
      </c>
      <c r="L18" s="498">
        <v>2025</v>
      </c>
      <c r="M18" s="515">
        <v>0.2</v>
      </c>
      <c r="N18" s="515">
        <v>0.08</v>
      </c>
      <c r="O18" s="500">
        <f t="shared" si="2"/>
        <v>405</v>
      </c>
      <c r="P18" s="500">
        <f t="shared" si="3"/>
        <v>162</v>
      </c>
      <c r="Q18" s="516">
        <v>7.0000000000000007E-2</v>
      </c>
      <c r="R18" s="516">
        <v>0.02</v>
      </c>
      <c r="S18" s="502">
        <f t="shared" si="4"/>
        <v>141.75</v>
      </c>
      <c r="T18" s="502">
        <f t="shared" si="5"/>
        <v>40.5</v>
      </c>
      <c r="U18" s="503">
        <v>6</v>
      </c>
      <c r="V18" s="503">
        <v>4</v>
      </c>
      <c r="W18" s="517">
        <v>5.0000000000000001E-3</v>
      </c>
      <c r="X18" s="505"/>
      <c r="Y18" s="506">
        <f t="shared" si="6"/>
        <v>10.125</v>
      </c>
      <c r="Z18" s="506">
        <f t="shared" si="7"/>
        <v>0</v>
      </c>
      <c r="AA18" s="513">
        <v>0.02</v>
      </c>
      <c r="AB18" s="513">
        <v>0.01</v>
      </c>
      <c r="AC18" s="508">
        <f t="shared" si="8"/>
        <v>40.5</v>
      </c>
      <c r="AD18" s="508">
        <f t="shared" si="9"/>
        <v>20.25</v>
      </c>
      <c r="AE18" s="518">
        <v>6.0000000000000001E-3</v>
      </c>
      <c r="AF18" s="514"/>
      <c r="AG18" s="510">
        <f t="shared" si="10"/>
        <v>12.15</v>
      </c>
      <c r="AH18" s="510">
        <f t="shared" si="11"/>
        <v>0</v>
      </c>
      <c r="AI18" s="511">
        <f t="shared" si="1"/>
        <v>615.52499999999998</v>
      </c>
      <c r="AJ18" s="511">
        <f t="shared" si="1"/>
        <v>226.75</v>
      </c>
      <c r="AK18" s="518"/>
      <c r="AL18" s="514"/>
      <c r="AM18" s="510">
        <f t="shared" si="12"/>
        <v>0</v>
      </c>
      <c r="AN18" s="510">
        <f t="shared" si="13"/>
        <v>0</v>
      </c>
    </row>
    <row r="19" spans="1:40" ht="21.75" customHeight="1">
      <c r="A19" s="512" t="str">
        <f t="shared" si="0"/>
        <v>南通市--城镇职工</v>
      </c>
      <c r="B19" s="512" t="s">
        <v>645</v>
      </c>
      <c r="C19" s="497" t="s">
        <v>497</v>
      </c>
      <c r="D19" s="497" t="s">
        <v>476</v>
      </c>
      <c r="E19" s="497" t="s">
        <v>498</v>
      </c>
      <c r="F19" s="521" t="s">
        <v>499</v>
      </c>
      <c r="G19" s="522">
        <v>1640</v>
      </c>
      <c r="H19" s="498">
        <v>2025</v>
      </c>
      <c r="I19" s="498">
        <v>2025</v>
      </c>
      <c r="J19" s="498">
        <v>2025</v>
      </c>
      <c r="K19" s="498">
        <v>2025</v>
      </c>
      <c r="L19" s="498">
        <v>2025</v>
      </c>
      <c r="M19" s="515">
        <v>0.2</v>
      </c>
      <c r="N19" s="515">
        <v>0.08</v>
      </c>
      <c r="O19" s="500">
        <f t="shared" si="2"/>
        <v>405</v>
      </c>
      <c r="P19" s="500">
        <f t="shared" si="3"/>
        <v>162</v>
      </c>
      <c r="Q19" s="516">
        <v>0.08</v>
      </c>
      <c r="R19" s="516">
        <v>0.02</v>
      </c>
      <c r="S19" s="502">
        <f t="shared" si="4"/>
        <v>162</v>
      </c>
      <c r="T19" s="502">
        <f t="shared" si="5"/>
        <v>40.5</v>
      </c>
      <c r="U19" s="503"/>
      <c r="V19" s="503">
        <v>10</v>
      </c>
      <c r="W19" s="517">
        <v>8.0000000000000002E-3</v>
      </c>
      <c r="X19" s="505"/>
      <c r="Y19" s="506">
        <f t="shared" si="6"/>
        <v>16.2</v>
      </c>
      <c r="Z19" s="506">
        <f t="shared" si="7"/>
        <v>0</v>
      </c>
      <c r="AA19" s="513">
        <v>0.02</v>
      </c>
      <c r="AB19" s="513">
        <v>0.01</v>
      </c>
      <c r="AC19" s="508">
        <f t="shared" si="8"/>
        <v>40.5</v>
      </c>
      <c r="AD19" s="508">
        <f t="shared" si="9"/>
        <v>20.25</v>
      </c>
      <c r="AE19" s="518">
        <v>8.0000000000000002E-3</v>
      </c>
      <c r="AF19" s="514"/>
      <c r="AG19" s="510">
        <f t="shared" si="10"/>
        <v>16.2</v>
      </c>
      <c r="AH19" s="510">
        <f t="shared" si="11"/>
        <v>0</v>
      </c>
      <c r="AI19" s="511">
        <f t="shared" si="1"/>
        <v>639.90000000000009</v>
      </c>
      <c r="AJ19" s="511">
        <f t="shared" si="1"/>
        <v>232.75</v>
      </c>
      <c r="AK19" s="518"/>
      <c r="AL19" s="514"/>
      <c r="AM19" s="510">
        <f t="shared" si="12"/>
        <v>0</v>
      </c>
      <c r="AN19" s="510">
        <f t="shared" si="13"/>
        <v>0</v>
      </c>
    </row>
    <row r="20" spans="1:40" ht="21.75" customHeight="1">
      <c r="A20" s="512" t="str">
        <f t="shared" si="0"/>
        <v>仪征市--城镇职工</v>
      </c>
      <c r="B20" s="512" t="s">
        <v>646</v>
      </c>
      <c r="C20" s="497" t="s">
        <v>500</v>
      </c>
      <c r="D20" s="497" t="s">
        <v>476</v>
      </c>
      <c r="E20" s="497" t="s">
        <v>482</v>
      </c>
      <c r="F20" s="521" t="s">
        <v>501</v>
      </c>
      <c r="G20" s="522">
        <v>1100</v>
      </c>
      <c r="H20" s="498">
        <v>2025</v>
      </c>
      <c r="I20" s="498">
        <v>1794</v>
      </c>
      <c r="J20" s="498">
        <v>2091</v>
      </c>
      <c r="K20" s="498">
        <v>2025</v>
      </c>
      <c r="L20" s="498">
        <v>1794</v>
      </c>
      <c r="M20" s="515">
        <v>0.2</v>
      </c>
      <c r="N20" s="515">
        <v>0.08</v>
      </c>
      <c r="O20" s="500">
        <f t="shared" si="2"/>
        <v>405</v>
      </c>
      <c r="P20" s="500">
        <f t="shared" si="3"/>
        <v>162</v>
      </c>
      <c r="Q20" s="516">
        <v>7.4999999999999997E-2</v>
      </c>
      <c r="R20" s="516">
        <v>0.02</v>
      </c>
      <c r="S20" s="502">
        <f t="shared" si="4"/>
        <v>134.54999999999998</v>
      </c>
      <c r="T20" s="502">
        <f t="shared" si="5"/>
        <v>35.880000000000003</v>
      </c>
      <c r="U20" s="503"/>
      <c r="V20" s="503"/>
      <c r="W20" s="517">
        <v>5.0000000000000001E-3</v>
      </c>
      <c r="X20" s="505"/>
      <c r="Y20" s="506">
        <f t="shared" si="6"/>
        <v>10.455</v>
      </c>
      <c r="Z20" s="506">
        <f t="shared" si="7"/>
        <v>0</v>
      </c>
      <c r="AA20" s="513">
        <v>0.02</v>
      </c>
      <c r="AB20" s="513">
        <v>0.01</v>
      </c>
      <c r="AC20" s="508">
        <f t="shared" si="8"/>
        <v>40.5</v>
      </c>
      <c r="AD20" s="508">
        <f t="shared" si="9"/>
        <v>20.25</v>
      </c>
      <c r="AE20" s="518">
        <v>6.0000000000000001E-3</v>
      </c>
      <c r="AF20" s="514"/>
      <c r="AG20" s="510">
        <f t="shared" si="10"/>
        <v>10.763999999999999</v>
      </c>
      <c r="AH20" s="510">
        <f t="shared" si="11"/>
        <v>0</v>
      </c>
      <c r="AI20" s="511">
        <f t="shared" si="1"/>
        <v>601.26900000000001</v>
      </c>
      <c r="AJ20" s="511">
        <f t="shared" si="1"/>
        <v>218.13</v>
      </c>
      <c r="AK20" s="518"/>
      <c r="AL20" s="514"/>
      <c r="AM20" s="510">
        <f t="shared" si="12"/>
        <v>0</v>
      </c>
      <c r="AN20" s="510">
        <f t="shared" si="13"/>
        <v>0</v>
      </c>
    </row>
    <row r="21" spans="1:40" ht="21.75" customHeight="1">
      <c r="A21" s="512" t="str">
        <f t="shared" si="0"/>
        <v>宿迁市--城镇职工</v>
      </c>
      <c r="B21" s="512" t="s">
        <v>647</v>
      </c>
      <c r="C21" s="497" t="s">
        <v>502</v>
      </c>
      <c r="D21" s="497" t="s">
        <v>476</v>
      </c>
      <c r="E21" s="497" t="s">
        <v>503</v>
      </c>
      <c r="F21" s="521" t="s">
        <v>504</v>
      </c>
      <c r="G21" s="522">
        <v>1100</v>
      </c>
      <c r="H21" s="498">
        <v>2025</v>
      </c>
      <c r="I21" s="498">
        <v>2025</v>
      </c>
      <c r="J21" s="498">
        <v>2025</v>
      </c>
      <c r="K21" s="498">
        <v>2025</v>
      </c>
      <c r="L21" s="498">
        <v>2025</v>
      </c>
      <c r="M21" s="515">
        <v>0.2</v>
      </c>
      <c r="N21" s="515">
        <v>0.08</v>
      </c>
      <c r="O21" s="500">
        <f t="shared" si="2"/>
        <v>405</v>
      </c>
      <c r="P21" s="500">
        <f t="shared" si="3"/>
        <v>162</v>
      </c>
      <c r="Q21" s="516">
        <v>7.0000000000000007E-2</v>
      </c>
      <c r="R21" s="516">
        <v>0.02</v>
      </c>
      <c r="S21" s="502">
        <f t="shared" si="4"/>
        <v>141.75</v>
      </c>
      <c r="T21" s="502">
        <f t="shared" si="5"/>
        <v>40.5</v>
      </c>
      <c r="U21" s="503">
        <v>5</v>
      </c>
      <c r="V21" s="503">
        <v>5</v>
      </c>
      <c r="W21" s="517">
        <v>5.0000000000000001E-3</v>
      </c>
      <c r="X21" s="505"/>
      <c r="Y21" s="506">
        <f t="shared" si="6"/>
        <v>10.125</v>
      </c>
      <c r="Z21" s="506">
        <f t="shared" si="7"/>
        <v>0</v>
      </c>
      <c r="AA21" s="513">
        <v>0.02</v>
      </c>
      <c r="AB21" s="513">
        <v>0.01</v>
      </c>
      <c r="AC21" s="508">
        <f t="shared" si="8"/>
        <v>40.5</v>
      </c>
      <c r="AD21" s="508">
        <f t="shared" si="9"/>
        <v>20.25</v>
      </c>
      <c r="AE21" s="518">
        <v>0.01</v>
      </c>
      <c r="AF21" s="514"/>
      <c r="AG21" s="510">
        <f t="shared" si="10"/>
        <v>20.25</v>
      </c>
      <c r="AH21" s="510">
        <f t="shared" si="11"/>
        <v>0</v>
      </c>
      <c r="AI21" s="511">
        <f t="shared" si="1"/>
        <v>622.625</v>
      </c>
      <c r="AJ21" s="511">
        <f t="shared" si="1"/>
        <v>227.75</v>
      </c>
      <c r="AK21" s="518"/>
      <c r="AL21" s="514"/>
      <c r="AM21" s="510">
        <f t="shared" si="12"/>
        <v>0</v>
      </c>
      <c r="AN21" s="510">
        <f t="shared" si="13"/>
        <v>0</v>
      </c>
    </row>
    <row r="22" spans="1:40" ht="21.75" customHeight="1">
      <c r="A22" s="512" t="str">
        <f t="shared" si="0"/>
        <v>扬州市--城镇职工</v>
      </c>
      <c r="B22" s="512" t="s">
        <v>648</v>
      </c>
      <c r="C22" s="497" t="s">
        <v>505</v>
      </c>
      <c r="D22" s="497" t="s">
        <v>506</v>
      </c>
      <c r="E22" s="497" t="s">
        <v>507</v>
      </c>
      <c r="F22" s="521" t="s">
        <v>501</v>
      </c>
      <c r="G22" s="522">
        <v>1480</v>
      </c>
      <c r="H22" s="498">
        <v>2025</v>
      </c>
      <c r="I22" s="498">
        <v>2025</v>
      </c>
      <c r="J22" s="498">
        <v>2025</v>
      </c>
      <c r="K22" s="498">
        <v>2025</v>
      </c>
      <c r="L22" s="498">
        <v>2025</v>
      </c>
      <c r="M22" s="515">
        <v>0.2</v>
      </c>
      <c r="N22" s="515">
        <v>0.08</v>
      </c>
      <c r="O22" s="500">
        <f t="shared" si="2"/>
        <v>405</v>
      </c>
      <c r="P22" s="500">
        <f t="shared" si="3"/>
        <v>162</v>
      </c>
      <c r="Q22" s="516">
        <v>7.0000000000000007E-2</v>
      </c>
      <c r="R22" s="516">
        <v>0.02</v>
      </c>
      <c r="S22" s="502">
        <f t="shared" si="4"/>
        <v>141.75</v>
      </c>
      <c r="T22" s="502">
        <f t="shared" si="5"/>
        <v>40.5</v>
      </c>
      <c r="U22" s="503"/>
      <c r="V22" s="503">
        <v>3</v>
      </c>
      <c r="W22" s="517">
        <v>0.01</v>
      </c>
      <c r="X22" s="505"/>
      <c r="Y22" s="506">
        <f t="shared" si="6"/>
        <v>20.25</v>
      </c>
      <c r="Z22" s="506">
        <f t="shared" si="7"/>
        <v>0</v>
      </c>
      <c r="AA22" s="513">
        <v>1.4999999999999999E-2</v>
      </c>
      <c r="AB22" s="513">
        <v>5.0000000000000001E-3</v>
      </c>
      <c r="AC22" s="508">
        <f t="shared" si="8"/>
        <v>30.375</v>
      </c>
      <c r="AD22" s="508">
        <f t="shared" si="9"/>
        <v>10.125</v>
      </c>
      <c r="AE22" s="518">
        <v>0.01</v>
      </c>
      <c r="AF22" s="514"/>
      <c r="AG22" s="510">
        <f t="shared" si="10"/>
        <v>20.25</v>
      </c>
      <c r="AH22" s="510">
        <f t="shared" si="11"/>
        <v>0</v>
      </c>
      <c r="AI22" s="511">
        <f>AG22+AC22+Y22+S22+O22</f>
        <v>617.625</v>
      </c>
      <c r="AJ22" s="511">
        <f t="shared" si="1"/>
        <v>215.625</v>
      </c>
      <c r="AK22" s="518"/>
      <c r="AL22" s="514"/>
      <c r="AM22" s="510">
        <f t="shared" si="12"/>
        <v>0</v>
      </c>
      <c r="AN22" s="510">
        <f t="shared" si="13"/>
        <v>0</v>
      </c>
    </row>
    <row r="23" spans="1:40" ht="21.75" customHeight="1">
      <c r="A23" s="512" t="str">
        <f t="shared" si="0"/>
        <v>徐州市--城镇职工</v>
      </c>
      <c r="B23" s="512" t="s">
        <v>649</v>
      </c>
      <c r="C23" s="497" t="s">
        <v>508</v>
      </c>
      <c r="D23" s="497" t="s">
        <v>506</v>
      </c>
      <c r="E23" s="497" t="s">
        <v>509</v>
      </c>
      <c r="F23" s="521" t="s">
        <v>510</v>
      </c>
      <c r="G23" s="522">
        <v>1280</v>
      </c>
      <c r="H23" s="498">
        <v>2100</v>
      </c>
      <c r="I23" s="498">
        <v>2100</v>
      </c>
      <c r="J23" s="498">
        <v>2100</v>
      </c>
      <c r="K23" s="498">
        <v>2100</v>
      </c>
      <c r="L23" s="498">
        <v>2100</v>
      </c>
      <c r="M23" s="515">
        <v>0.2</v>
      </c>
      <c r="N23" s="515">
        <v>0.08</v>
      </c>
      <c r="O23" s="500">
        <f t="shared" si="2"/>
        <v>420</v>
      </c>
      <c r="P23" s="500">
        <f t="shared" si="3"/>
        <v>168</v>
      </c>
      <c r="Q23" s="516">
        <v>0.09</v>
      </c>
      <c r="R23" s="516">
        <v>0.02</v>
      </c>
      <c r="S23" s="502">
        <f t="shared" si="4"/>
        <v>189</v>
      </c>
      <c r="T23" s="502">
        <f t="shared" si="5"/>
        <v>42</v>
      </c>
      <c r="U23" s="503"/>
      <c r="V23" s="503"/>
      <c r="W23" s="517">
        <v>5.0000000000000001E-3</v>
      </c>
      <c r="X23" s="505"/>
      <c r="Y23" s="506">
        <f t="shared" si="6"/>
        <v>10.5</v>
      </c>
      <c r="Z23" s="506">
        <f t="shared" si="7"/>
        <v>0</v>
      </c>
      <c r="AA23" s="513">
        <v>0.02</v>
      </c>
      <c r="AB23" s="513">
        <v>0.01</v>
      </c>
      <c r="AC23" s="508">
        <f t="shared" si="8"/>
        <v>42</v>
      </c>
      <c r="AD23" s="508">
        <f t="shared" si="9"/>
        <v>21</v>
      </c>
      <c r="AE23" s="518">
        <v>6.0000000000000001E-3</v>
      </c>
      <c r="AF23" s="514"/>
      <c r="AG23" s="510">
        <f t="shared" si="10"/>
        <v>12.6</v>
      </c>
      <c r="AH23" s="510">
        <f t="shared" si="11"/>
        <v>0</v>
      </c>
      <c r="AI23" s="511">
        <f>AG23+AC23+Y23+S23+O23</f>
        <v>674.1</v>
      </c>
      <c r="AJ23" s="511">
        <f>AD23+T23+P23</f>
        <v>231</v>
      </c>
      <c r="AK23" s="518"/>
      <c r="AL23" s="514"/>
      <c r="AM23" s="510">
        <f t="shared" si="12"/>
        <v>0</v>
      </c>
      <c r="AN23" s="510">
        <f t="shared" si="13"/>
        <v>0</v>
      </c>
    </row>
    <row r="24" spans="1:40" ht="21.75" customHeight="1">
      <c r="A24" s="512" t="str">
        <f t="shared" si="0"/>
        <v>常州市--城镇职工</v>
      </c>
      <c r="B24" s="512" t="s">
        <v>650</v>
      </c>
      <c r="C24" s="497" t="s">
        <v>511</v>
      </c>
      <c r="D24" s="497" t="s">
        <v>506</v>
      </c>
      <c r="E24" s="497" t="s">
        <v>509</v>
      </c>
      <c r="F24" s="521" t="s">
        <v>512</v>
      </c>
      <c r="G24" s="522">
        <v>1480</v>
      </c>
      <c r="H24" s="498">
        <v>2299</v>
      </c>
      <c r="I24" s="498">
        <v>2299</v>
      </c>
      <c r="J24" s="498">
        <v>2299</v>
      </c>
      <c r="K24" s="498">
        <v>2299</v>
      </c>
      <c r="L24" s="498">
        <v>2299</v>
      </c>
      <c r="M24" s="515">
        <v>0.2</v>
      </c>
      <c r="N24" s="515">
        <v>0.08</v>
      </c>
      <c r="O24" s="500">
        <f t="shared" si="2"/>
        <v>459.8</v>
      </c>
      <c r="P24" s="500">
        <f t="shared" si="3"/>
        <v>183.92000000000002</v>
      </c>
      <c r="Q24" s="516">
        <v>0.08</v>
      </c>
      <c r="R24" s="516">
        <v>0.02</v>
      </c>
      <c r="S24" s="502">
        <f t="shared" si="4"/>
        <v>183.92000000000002</v>
      </c>
      <c r="T24" s="502">
        <f>I24*R24+5</f>
        <v>50.980000000000004</v>
      </c>
      <c r="U24" s="503"/>
      <c r="V24" s="503"/>
      <c r="W24" s="517">
        <v>1.2999999999999999E-2</v>
      </c>
      <c r="X24" s="505"/>
      <c r="Y24" s="506">
        <f t="shared" si="6"/>
        <v>29.886999999999997</v>
      </c>
      <c r="Z24" s="506">
        <f t="shared" si="7"/>
        <v>0</v>
      </c>
      <c r="AA24" s="513">
        <v>0.02</v>
      </c>
      <c r="AB24" s="513">
        <v>0.01</v>
      </c>
      <c r="AC24" s="508">
        <f t="shared" si="8"/>
        <v>45.980000000000004</v>
      </c>
      <c r="AD24" s="508">
        <f t="shared" si="9"/>
        <v>22.990000000000002</v>
      </c>
      <c r="AE24" s="518">
        <v>1.2999999999999999E-2</v>
      </c>
      <c r="AF24" s="514"/>
      <c r="AG24" s="510">
        <f t="shared" si="10"/>
        <v>29.886999999999997</v>
      </c>
      <c r="AH24" s="510">
        <f t="shared" si="11"/>
        <v>0</v>
      </c>
      <c r="AI24" s="511">
        <f>AG24+AC24+Y24+S24+O24</f>
        <v>749.47400000000005</v>
      </c>
      <c r="AJ24" s="511">
        <f>AD24+T24+P24</f>
        <v>257.89</v>
      </c>
      <c r="AK24" s="518"/>
      <c r="AL24" s="514"/>
      <c r="AM24" s="510">
        <f t="shared" si="12"/>
        <v>0</v>
      </c>
      <c r="AN24" s="510">
        <f t="shared" si="13"/>
        <v>0</v>
      </c>
    </row>
    <row r="25" spans="1:40" ht="21.75" customHeight="1">
      <c r="A25" s="512" t="str">
        <f t="shared" si="0"/>
        <v>杭州市--城镇职工</v>
      </c>
      <c r="B25" s="512" t="s">
        <v>651</v>
      </c>
      <c r="C25" s="772" t="s">
        <v>513</v>
      </c>
      <c r="D25" s="497" t="s">
        <v>476</v>
      </c>
      <c r="E25" s="772" t="s">
        <v>482</v>
      </c>
      <c r="F25" s="773" t="s">
        <v>514</v>
      </c>
      <c r="G25" s="774">
        <v>1470</v>
      </c>
      <c r="H25" s="498">
        <v>2004.35</v>
      </c>
      <c r="I25" s="498">
        <v>2004.35</v>
      </c>
      <c r="J25" s="498">
        <v>2004.35</v>
      </c>
      <c r="K25" s="498">
        <v>2004.35</v>
      </c>
      <c r="L25" s="498">
        <v>2004.35</v>
      </c>
      <c r="M25" s="515">
        <v>0.14000000000000001</v>
      </c>
      <c r="N25" s="515">
        <v>0.08</v>
      </c>
      <c r="O25" s="500">
        <f>H25*M25</f>
        <v>280.60900000000004</v>
      </c>
      <c r="P25" s="500">
        <f>H25*N25</f>
        <v>160.34799999999998</v>
      </c>
      <c r="Q25" s="516">
        <v>0.115</v>
      </c>
      <c r="R25" s="516">
        <v>0.02</v>
      </c>
      <c r="S25" s="502">
        <f t="shared" si="4"/>
        <v>230.50024999999999</v>
      </c>
      <c r="T25" s="502">
        <f t="shared" si="5"/>
        <v>40.086999999999996</v>
      </c>
      <c r="U25" s="503"/>
      <c r="V25" s="503">
        <v>4</v>
      </c>
      <c r="W25" s="517">
        <v>8.0000000000000002E-3</v>
      </c>
      <c r="X25" s="505"/>
      <c r="Y25" s="506">
        <f t="shared" si="6"/>
        <v>16.034800000000001</v>
      </c>
      <c r="Z25" s="506">
        <f t="shared" si="7"/>
        <v>0</v>
      </c>
      <c r="AA25" s="513">
        <v>0.02</v>
      </c>
      <c r="AB25" s="513">
        <v>0.01</v>
      </c>
      <c r="AC25" s="508">
        <f t="shared" si="8"/>
        <v>40.086999999999996</v>
      </c>
      <c r="AD25" s="508">
        <f t="shared" si="9"/>
        <v>20.043499999999998</v>
      </c>
      <c r="AE25" s="518">
        <v>6.0000000000000001E-3</v>
      </c>
      <c r="AF25" s="514"/>
      <c r="AG25" s="510">
        <f t="shared" si="10"/>
        <v>12.0261</v>
      </c>
      <c r="AH25" s="510">
        <f t="shared" si="11"/>
        <v>0</v>
      </c>
      <c r="AI25" s="511">
        <f t="shared" si="1"/>
        <v>579.25715000000002</v>
      </c>
      <c r="AJ25" s="511">
        <f t="shared" si="1"/>
        <v>224.47849999999997</v>
      </c>
      <c r="AK25" s="518"/>
      <c r="AL25" s="514"/>
      <c r="AM25" s="510">
        <f t="shared" si="12"/>
        <v>0</v>
      </c>
      <c r="AN25" s="510">
        <f t="shared" si="13"/>
        <v>0</v>
      </c>
    </row>
    <row r="26" spans="1:40" ht="21.75" customHeight="1">
      <c r="A26" s="512" t="str">
        <f t="shared" si="0"/>
        <v>杭州市--农业户口</v>
      </c>
      <c r="B26" s="512" t="s">
        <v>651</v>
      </c>
      <c r="C26" s="772"/>
      <c r="D26" s="497" t="s">
        <v>515</v>
      </c>
      <c r="E26" s="772"/>
      <c r="F26" s="773"/>
      <c r="G26" s="774"/>
      <c r="H26" s="498">
        <v>2004.35</v>
      </c>
      <c r="I26" s="498">
        <v>2004.35</v>
      </c>
      <c r="J26" s="498">
        <v>2004.35</v>
      </c>
      <c r="K26" s="498">
        <v>2004.35</v>
      </c>
      <c r="L26" s="498">
        <v>2004.35</v>
      </c>
      <c r="M26" s="515">
        <v>0.14000000000000001</v>
      </c>
      <c r="N26" s="515">
        <v>0.08</v>
      </c>
      <c r="O26" s="500">
        <f>H26*M26</f>
        <v>280.60900000000004</v>
      </c>
      <c r="P26" s="500">
        <f>H26*N26</f>
        <v>160.34799999999998</v>
      </c>
      <c r="Q26" s="516">
        <v>0.115</v>
      </c>
      <c r="R26" s="516">
        <v>0.02</v>
      </c>
      <c r="S26" s="502">
        <f t="shared" si="4"/>
        <v>230.50024999999999</v>
      </c>
      <c r="T26" s="502">
        <f t="shared" si="5"/>
        <v>40.086999999999996</v>
      </c>
      <c r="U26" s="503"/>
      <c r="V26" s="503">
        <v>4</v>
      </c>
      <c r="W26" s="517">
        <v>8.0000000000000002E-3</v>
      </c>
      <c r="X26" s="505"/>
      <c r="Y26" s="506">
        <f t="shared" si="6"/>
        <v>16.034800000000001</v>
      </c>
      <c r="Z26" s="506">
        <f t="shared" si="7"/>
        <v>0</v>
      </c>
      <c r="AA26" s="513">
        <v>0.02</v>
      </c>
      <c r="AB26" s="513">
        <v>0</v>
      </c>
      <c r="AC26" s="508">
        <f t="shared" si="8"/>
        <v>40.086999999999996</v>
      </c>
      <c r="AD26" s="508">
        <f t="shared" si="9"/>
        <v>0</v>
      </c>
      <c r="AE26" s="518"/>
      <c r="AF26" s="514"/>
      <c r="AG26" s="510">
        <f t="shared" si="10"/>
        <v>0</v>
      </c>
      <c r="AH26" s="510">
        <f t="shared" si="11"/>
        <v>0</v>
      </c>
      <c r="AI26" s="511">
        <f t="shared" si="1"/>
        <v>567.23104999999998</v>
      </c>
      <c r="AJ26" s="511">
        <f t="shared" si="1"/>
        <v>204.43499999999997</v>
      </c>
      <c r="AK26" s="518"/>
      <c r="AL26" s="514"/>
      <c r="AM26" s="510">
        <f t="shared" si="12"/>
        <v>0</v>
      </c>
      <c r="AN26" s="510">
        <f t="shared" si="13"/>
        <v>0</v>
      </c>
    </row>
    <row r="27" spans="1:40" ht="21.75" customHeight="1">
      <c r="A27" s="512" t="str">
        <f t="shared" si="0"/>
        <v>嘉兴市--城镇职工</v>
      </c>
      <c r="B27" s="512" t="s">
        <v>652</v>
      </c>
      <c r="C27" s="772" t="s">
        <v>516</v>
      </c>
      <c r="D27" s="497" t="s">
        <v>476</v>
      </c>
      <c r="E27" s="777" t="s">
        <v>517</v>
      </c>
      <c r="F27" s="773" t="s">
        <v>518</v>
      </c>
      <c r="G27" s="774">
        <v>1310</v>
      </c>
      <c r="H27" s="498">
        <v>2005</v>
      </c>
      <c r="I27" s="498">
        <v>3390</v>
      </c>
      <c r="J27" s="498">
        <v>2005</v>
      </c>
      <c r="K27" s="498">
        <v>2005</v>
      </c>
      <c r="L27" s="498">
        <v>2005</v>
      </c>
      <c r="M27" s="515">
        <v>0.14000000000000001</v>
      </c>
      <c r="N27" s="515">
        <v>0.08</v>
      </c>
      <c r="O27" s="500">
        <f t="shared" si="2"/>
        <v>280.70000000000005</v>
      </c>
      <c r="P27" s="500">
        <f t="shared" si="3"/>
        <v>160.4</v>
      </c>
      <c r="Q27" s="516">
        <v>0.01</v>
      </c>
      <c r="R27" s="516">
        <v>5.0000000000000001E-3</v>
      </c>
      <c r="S27" s="502">
        <f t="shared" si="4"/>
        <v>33.9</v>
      </c>
      <c r="T27" s="502">
        <f t="shared" si="5"/>
        <v>16.95</v>
      </c>
      <c r="U27" s="503"/>
      <c r="V27" s="503"/>
      <c r="W27" s="517">
        <v>8.0000000000000002E-3</v>
      </c>
      <c r="X27" s="506"/>
      <c r="Y27" s="506">
        <f t="shared" si="6"/>
        <v>16.04</v>
      </c>
      <c r="Z27" s="506">
        <f t="shared" si="7"/>
        <v>0</v>
      </c>
      <c r="AA27" s="513">
        <v>0.02</v>
      </c>
      <c r="AB27" s="513">
        <v>0.01</v>
      </c>
      <c r="AC27" s="508">
        <f t="shared" si="8"/>
        <v>40.1</v>
      </c>
      <c r="AD27" s="508">
        <f t="shared" si="9"/>
        <v>20.05</v>
      </c>
      <c r="AE27" s="518">
        <v>8.0000000000000002E-3</v>
      </c>
      <c r="AF27" s="514"/>
      <c r="AG27" s="510">
        <f t="shared" si="10"/>
        <v>16.04</v>
      </c>
      <c r="AH27" s="510">
        <f t="shared" si="11"/>
        <v>0</v>
      </c>
      <c r="AI27" s="511">
        <f t="shared" si="1"/>
        <v>386.78000000000009</v>
      </c>
      <c r="AJ27" s="511">
        <f t="shared" si="1"/>
        <v>197.4</v>
      </c>
      <c r="AK27" s="518"/>
      <c r="AL27" s="514"/>
      <c r="AM27" s="510">
        <f t="shared" si="12"/>
        <v>0</v>
      </c>
      <c r="AN27" s="510">
        <f t="shared" si="13"/>
        <v>0</v>
      </c>
    </row>
    <row r="28" spans="1:40" ht="21.75" customHeight="1">
      <c r="A28" s="512" t="str">
        <f t="shared" si="0"/>
        <v>嘉兴市--农业户口</v>
      </c>
      <c r="B28" s="512" t="s">
        <v>652</v>
      </c>
      <c r="C28" s="772"/>
      <c r="D28" s="497" t="s">
        <v>515</v>
      </c>
      <c r="E28" s="778"/>
      <c r="F28" s="773"/>
      <c r="G28" s="774"/>
      <c r="H28" s="498">
        <v>2005</v>
      </c>
      <c r="I28" s="498">
        <v>3390</v>
      </c>
      <c r="J28" s="498">
        <v>2005</v>
      </c>
      <c r="K28" s="498">
        <v>2005</v>
      </c>
      <c r="L28" s="498">
        <v>2005</v>
      </c>
      <c r="M28" s="515">
        <v>0.14000000000000001</v>
      </c>
      <c r="N28" s="515">
        <v>0.08</v>
      </c>
      <c r="O28" s="500">
        <f t="shared" si="2"/>
        <v>280.70000000000005</v>
      </c>
      <c r="P28" s="500">
        <f t="shared" si="3"/>
        <v>160.4</v>
      </c>
      <c r="Q28" s="516">
        <v>0.01</v>
      </c>
      <c r="R28" s="516">
        <v>5.0000000000000001E-3</v>
      </c>
      <c r="S28" s="502">
        <f t="shared" si="4"/>
        <v>33.9</v>
      </c>
      <c r="T28" s="502">
        <f t="shared" si="5"/>
        <v>16.95</v>
      </c>
      <c r="U28" s="503"/>
      <c r="V28" s="503"/>
      <c r="W28" s="517">
        <v>8.0000000000000002E-3</v>
      </c>
      <c r="X28" s="506"/>
      <c r="Y28" s="506">
        <f t="shared" si="6"/>
        <v>16.04</v>
      </c>
      <c r="Z28" s="506">
        <f t="shared" si="7"/>
        <v>0</v>
      </c>
      <c r="AA28" s="513">
        <v>0.02</v>
      </c>
      <c r="AB28" s="513"/>
      <c r="AC28" s="508">
        <f t="shared" si="8"/>
        <v>40.1</v>
      </c>
      <c r="AD28" s="508">
        <f t="shared" si="9"/>
        <v>0</v>
      </c>
      <c r="AE28" s="518">
        <v>8.0000000000000002E-3</v>
      </c>
      <c r="AF28" s="514"/>
      <c r="AG28" s="510">
        <f t="shared" si="10"/>
        <v>16.04</v>
      </c>
      <c r="AH28" s="510">
        <f t="shared" si="11"/>
        <v>0</v>
      </c>
      <c r="AI28" s="511">
        <f t="shared" si="1"/>
        <v>386.78000000000009</v>
      </c>
      <c r="AJ28" s="511">
        <f t="shared" si="1"/>
        <v>177.35</v>
      </c>
      <c r="AK28" s="518"/>
      <c r="AL28" s="514"/>
      <c r="AM28" s="510">
        <f t="shared" si="12"/>
        <v>0</v>
      </c>
      <c r="AN28" s="510">
        <f t="shared" si="13"/>
        <v>0</v>
      </c>
    </row>
    <row r="29" spans="1:40" ht="21.75" customHeight="1">
      <c r="A29" s="512" t="str">
        <f t="shared" si="0"/>
        <v>宁波市--城镇职工</v>
      </c>
      <c r="B29" s="512" t="s">
        <v>653</v>
      </c>
      <c r="C29" s="772" t="s">
        <v>519</v>
      </c>
      <c r="D29" s="497" t="s">
        <v>476</v>
      </c>
      <c r="E29" s="772" t="s">
        <v>520</v>
      </c>
      <c r="F29" s="773" t="s">
        <v>521</v>
      </c>
      <c r="G29" s="774">
        <v>1470</v>
      </c>
      <c r="H29" s="498">
        <v>2166</v>
      </c>
      <c r="I29" s="498">
        <v>2166</v>
      </c>
      <c r="J29" s="498">
        <v>2166</v>
      </c>
      <c r="K29" s="498">
        <v>2166</v>
      </c>
      <c r="L29" s="498">
        <v>2166</v>
      </c>
      <c r="M29" s="515">
        <v>0.14000000000000001</v>
      </c>
      <c r="N29" s="515">
        <v>0.08</v>
      </c>
      <c r="O29" s="500">
        <f t="shared" si="2"/>
        <v>303.24</v>
      </c>
      <c r="P29" s="500">
        <f t="shared" si="3"/>
        <v>173.28</v>
      </c>
      <c r="Q29" s="516">
        <v>0.11</v>
      </c>
      <c r="R29" s="516">
        <v>0.02</v>
      </c>
      <c r="S29" s="502">
        <f t="shared" si="4"/>
        <v>238.26</v>
      </c>
      <c r="T29" s="502">
        <f t="shared" si="5"/>
        <v>43.32</v>
      </c>
      <c r="U29" s="524">
        <f>5.5%*I29</f>
        <v>119.13</v>
      </c>
      <c r="V29" s="503"/>
      <c r="W29" s="517">
        <v>6.0000000000000001E-3</v>
      </c>
      <c r="X29" s="505"/>
      <c r="Y29" s="506">
        <f t="shared" si="6"/>
        <v>12.996</v>
      </c>
      <c r="Z29" s="506">
        <f t="shared" si="7"/>
        <v>0</v>
      </c>
      <c r="AA29" s="513">
        <v>0.02</v>
      </c>
      <c r="AB29" s="513">
        <v>0.01</v>
      </c>
      <c r="AC29" s="508">
        <f t="shared" si="8"/>
        <v>43.32</v>
      </c>
      <c r="AD29" s="508">
        <f t="shared" si="9"/>
        <v>21.66</v>
      </c>
      <c r="AE29" s="518">
        <v>7.0000000000000001E-3</v>
      </c>
      <c r="AF29" s="514"/>
      <c r="AG29" s="510">
        <f t="shared" si="10"/>
        <v>15.162000000000001</v>
      </c>
      <c r="AH29" s="510">
        <f t="shared" si="11"/>
        <v>0</v>
      </c>
      <c r="AI29" s="511">
        <f t="shared" si="1"/>
        <v>732.10800000000006</v>
      </c>
      <c r="AJ29" s="511">
        <f t="shared" si="1"/>
        <v>238.26</v>
      </c>
      <c r="AK29" s="518"/>
      <c r="AL29" s="514"/>
      <c r="AM29" s="510">
        <f t="shared" si="12"/>
        <v>0</v>
      </c>
      <c r="AN29" s="510">
        <f t="shared" si="13"/>
        <v>0</v>
      </c>
    </row>
    <row r="30" spans="1:40" ht="21.75" customHeight="1">
      <c r="A30" s="512" t="str">
        <f t="shared" si="0"/>
        <v>宁波市--外来农户</v>
      </c>
      <c r="B30" s="512" t="s">
        <v>653</v>
      </c>
      <c r="C30" s="772"/>
      <c r="D30" s="497" t="s">
        <v>474</v>
      </c>
      <c r="E30" s="772"/>
      <c r="F30" s="773"/>
      <c r="G30" s="774"/>
      <c r="H30" s="498">
        <v>1470</v>
      </c>
      <c r="I30" s="498">
        <v>2166</v>
      </c>
      <c r="J30" s="498">
        <v>2166</v>
      </c>
      <c r="K30" s="498">
        <v>1470</v>
      </c>
      <c r="L30" s="498">
        <v>2166</v>
      </c>
      <c r="M30" s="515">
        <v>0.14000000000000001</v>
      </c>
      <c r="N30" s="515">
        <v>0.08</v>
      </c>
      <c r="O30" s="500">
        <f t="shared" si="2"/>
        <v>205.8</v>
      </c>
      <c r="P30" s="500">
        <f t="shared" si="3"/>
        <v>117.60000000000001</v>
      </c>
      <c r="Q30" s="516">
        <v>5.5E-2</v>
      </c>
      <c r="R30" s="516">
        <v>0.01</v>
      </c>
      <c r="S30" s="502">
        <f t="shared" si="4"/>
        <v>119.13</v>
      </c>
      <c r="T30" s="502">
        <f t="shared" si="5"/>
        <v>21.66</v>
      </c>
      <c r="U30" s="503"/>
      <c r="V30" s="503"/>
      <c r="W30" s="517">
        <v>6.0000000000000001E-3</v>
      </c>
      <c r="X30" s="505"/>
      <c r="Y30" s="506">
        <f t="shared" si="6"/>
        <v>12.996</v>
      </c>
      <c r="Z30" s="506">
        <f t="shared" si="7"/>
        <v>0</v>
      </c>
      <c r="AA30" s="513">
        <v>0.02</v>
      </c>
      <c r="AB30" s="513"/>
      <c r="AC30" s="508">
        <f t="shared" si="8"/>
        <v>29.400000000000002</v>
      </c>
      <c r="AD30" s="508">
        <f t="shared" si="9"/>
        <v>0</v>
      </c>
      <c r="AE30" s="518">
        <v>7.0000000000000001E-3</v>
      </c>
      <c r="AF30" s="514"/>
      <c r="AG30" s="510">
        <f t="shared" si="10"/>
        <v>15.162000000000001</v>
      </c>
      <c r="AH30" s="510">
        <f t="shared" si="11"/>
        <v>0</v>
      </c>
      <c r="AI30" s="511">
        <f t="shared" si="1"/>
        <v>382.48799999999994</v>
      </c>
      <c r="AJ30" s="511">
        <f t="shared" si="1"/>
        <v>139.26000000000002</v>
      </c>
      <c r="AK30" s="518"/>
      <c r="AL30" s="514"/>
      <c r="AM30" s="510">
        <f t="shared" si="12"/>
        <v>0</v>
      </c>
      <c r="AN30" s="510">
        <f t="shared" si="13"/>
        <v>0</v>
      </c>
    </row>
    <row r="31" spans="1:40" ht="21.75" customHeight="1">
      <c r="A31" s="512" t="str">
        <f t="shared" si="0"/>
        <v>湖州市--城镇职工</v>
      </c>
      <c r="B31" s="512" t="s">
        <v>654</v>
      </c>
      <c r="C31" s="775" t="s">
        <v>522</v>
      </c>
      <c r="D31" s="497" t="s">
        <v>476</v>
      </c>
      <c r="E31" s="772" t="s">
        <v>482</v>
      </c>
      <c r="F31" s="773" t="s">
        <v>523</v>
      </c>
      <c r="G31" s="774">
        <v>1310</v>
      </c>
      <c r="H31" s="498">
        <v>2004</v>
      </c>
      <c r="I31" s="498">
        <v>2004</v>
      </c>
      <c r="J31" s="498">
        <v>2004</v>
      </c>
      <c r="K31" s="498">
        <v>2004</v>
      </c>
      <c r="L31" s="498">
        <v>2004</v>
      </c>
      <c r="M31" s="515">
        <v>0.14000000000000001</v>
      </c>
      <c r="N31" s="515">
        <v>0.08</v>
      </c>
      <c r="O31" s="500">
        <f t="shared" si="2"/>
        <v>280.56</v>
      </c>
      <c r="P31" s="500">
        <f t="shared" si="3"/>
        <v>160.32</v>
      </c>
      <c r="Q31" s="516">
        <v>8.5000000000000006E-2</v>
      </c>
      <c r="R31" s="516"/>
      <c r="S31" s="502">
        <f t="shared" si="4"/>
        <v>170.34</v>
      </c>
      <c r="T31" s="525">
        <f>3341*1%</f>
        <v>33.410000000000004</v>
      </c>
      <c r="U31" s="503"/>
      <c r="V31" s="503"/>
      <c r="W31" s="517">
        <v>5.0000000000000001E-3</v>
      </c>
      <c r="X31" s="505"/>
      <c r="Y31" s="506">
        <f t="shared" si="6"/>
        <v>10.02</v>
      </c>
      <c r="Z31" s="506">
        <f t="shared" si="7"/>
        <v>0</v>
      </c>
      <c r="AA31" s="513">
        <v>0.02</v>
      </c>
      <c r="AB31" s="513">
        <v>0.01</v>
      </c>
      <c r="AC31" s="508">
        <f t="shared" si="8"/>
        <v>40.08</v>
      </c>
      <c r="AD31" s="508">
        <f t="shared" si="9"/>
        <v>20.04</v>
      </c>
      <c r="AE31" s="518">
        <v>6.0000000000000001E-3</v>
      </c>
      <c r="AF31" s="514"/>
      <c r="AG31" s="510">
        <f t="shared" si="10"/>
        <v>12.024000000000001</v>
      </c>
      <c r="AH31" s="510">
        <f t="shared" si="11"/>
        <v>0</v>
      </c>
      <c r="AI31" s="511">
        <f t="shared" si="1"/>
        <v>513.02399999999989</v>
      </c>
      <c r="AJ31" s="511">
        <f t="shared" si="1"/>
        <v>213.76999999999998</v>
      </c>
      <c r="AK31" s="518"/>
      <c r="AL31" s="514"/>
      <c r="AM31" s="510">
        <f t="shared" si="12"/>
        <v>0</v>
      </c>
      <c r="AN31" s="510">
        <f t="shared" si="13"/>
        <v>0</v>
      </c>
    </row>
    <row r="32" spans="1:40" ht="21.75" customHeight="1">
      <c r="A32" s="512" t="str">
        <f t="shared" si="0"/>
        <v>湖州市--农村户口</v>
      </c>
      <c r="B32" s="512" t="s">
        <v>654</v>
      </c>
      <c r="C32" s="772"/>
      <c r="D32" s="497" t="s">
        <v>524</v>
      </c>
      <c r="E32" s="772"/>
      <c r="F32" s="773"/>
      <c r="G32" s="774"/>
      <c r="H32" s="498">
        <v>2004</v>
      </c>
      <c r="I32" s="498">
        <v>2004</v>
      </c>
      <c r="J32" s="498">
        <v>2004</v>
      </c>
      <c r="K32" s="498">
        <v>2004</v>
      </c>
      <c r="L32" s="498">
        <v>2004</v>
      </c>
      <c r="M32" s="515">
        <v>0.14000000000000001</v>
      </c>
      <c r="N32" s="515">
        <v>0.08</v>
      </c>
      <c r="O32" s="500">
        <f t="shared" si="2"/>
        <v>280.56</v>
      </c>
      <c r="P32" s="500">
        <f t="shared" si="3"/>
        <v>160.32</v>
      </c>
      <c r="Q32" s="516">
        <v>8.5000000000000006E-2</v>
      </c>
      <c r="R32" s="516"/>
      <c r="S32" s="502">
        <f t="shared" si="4"/>
        <v>170.34</v>
      </c>
      <c r="T32" s="525">
        <f>3341*1%</f>
        <v>33.410000000000004</v>
      </c>
      <c r="U32" s="503"/>
      <c r="V32" s="503"/>
      <c r="W32" s="517">
        <v>5.0000000000000001E-3</v>
      </c>
      <c r="X32" s="505"/>
      <c r="Y32" s="506">
        <f t="shared" si="6"/>
        <v>10.02</v>
      </c>
      <c r="Z32" s="506">
        <f t="shared" si="7"/>
        <v>0</v>
      </c>
      <c r="AA32" s="513">
        <v>0.02</v>
      </c>
      <c r="AB32" s="513"/>
      <c r="AC32" s="508">
        <f t="shared" si="8"/>
        <v>40.08</v>
      </c>
      <c r="AD32" s="508">
        <f t="shared" si="9"/>
        <v>0</v>
      </c>
      <c r="AE32" s="518">
        <v>6.0000000000000001E-3</v>
      </c>
      <c r="AF32" s="514"/>
      <c r="AG32" s="510">
        <f t="shared" si="10"/>
        <v>12.024000000000001</v>
      </c>
      <c r="AH32" s="510">
        <f t="shared" si="11"/>
        <v>0</v>
      </c>
      <c r="AI32" s="511">
        <f t="shared" si="1"/>
        <v>513.02399999999989</v>
      </c>
      <c r="AJ32" s="511">
        <f t="shared" si="1"/>
        <v>193.73</v>
      </c>
      <c r="AK32" s="518"/>
      <c r="AL32" s="514"/>
      <c r="AM32" s="510">
        <f t="shared" si="12"/>
        <v>0</v>
      </c>
      <c r="AN32" s="510">
        <f t="shared" si="13"/>
        <v>0</v>
      </c>
    </row>
    <row r="33" spans="1:40" ht="21.75" customHeight="1">
      <c r="A33" s="512" t="str">
        <f t="shared" si="0"/>
        <v>绍兴市--城镇职工</v>
      </c>
      <c r="B33" s="512" t="s">
        <v>655</v>
      </c>
      <c r="C33" s="772" t="s">
        <v>525</v>
      </c>
      <c r="D33" s="497" t="s">
        <v>476</v>
      </c>
      <c r="E33" s="772" t="s">
        <v>520</v>
      </c>
      <c r="F33" s="773" t="s">
        <v>526</v>
      </c>
      <c r="G33" s="774">
        <v>1310</v>
      </c>
      <c r="H33" s="498">
        <v>2004</v>
      </c>
      <c r="I33" s="498">
        <v>3340</v>
      </c>
      <c r="J33" s="498">
        <v>2004</v>
      </c>
      <c r="K33" s="498">
        <v>2004</v>
      </c>
      <c r="L33" s="498">
        <v>3340</v>
      </c>
      <c r="M33" s="515">
        <v>0.14000000000000001</v>
      </c>
      <c r="N33" s="515">
        <v>0.08</v>
      </c>
      <c r="O33" s="500">
        <f t="shared" si="2"/>
        <v>280.56</v>
      </c>
      <c r="P33" s="500">
        <f t="shared" si="3"/>
        <v>160.32</v>
      </c>
      <c r="Q33" s="516">
        <v>6.5000000000000002E-2</v>
      </c>
      <c r="R33" s="516">
        <v>0.01</v>
      </c>
      <c r="S33" s="502">
        <f t="shared" si="4"/>
        <v>217.1</v>
      </c>
      <c r="T33" s="502">
        <f t="shared" si="5"/>
        <v>33.4</v>
      </c>
      <c r="U33" s="503">
        <v>5</v>
      </c>
      <c r="V33" s="503"/>
      <c r="W33" s="517">
        <v>5.0000000000000001E-3</v>
      </c>
      <c r="X33" s="505"/>
      <c r="Y33" s="506">
        <f t="shared" si="6"/>
        <v>10.02</v>
      </c>
      <c r="Z33" s="506">
        <f t="shared" si="7"/>
        <v>0</v>
      </c>
      <c r="AA33" s="513">
        <v>0.02</v>
      </c>
      <c r="AB33" s="513">
        <v>0.01</v>
      </c>
      <c r="AC33" s="508">
        <f t="shared" si="8"/>
        <v>40.08</v>
      </c>
      <c r="AD33" s="508">
        <f t="shared" si="9"/>
        <v>20.04</v>
      </c>
      <c r="AE33" s="518">
        <v>8.0000000000000002E-3</v>
      </c>
      <c r="AF33" s="514"/>
      <c r="AG33" s="510">
        <f t="shared" si="10"/>
        <v>26.72</v>
      </c>
      <c r="AH33" s="510">
        <f t="shared" si="11"/>
        <v>0</v>
      </c>
      <c r="AI33" s="511">
        <f t="shared" si="1"/>
        <v>579.48</v>
      </c>
      <c r="AJ33" s="511">
        <f t="shared" si="1"/>
        <v>213.76</v>
      </c>
      <c r="AK33" s="518"/>
      <c r="AL33" s="514"/>
      <c r="AM33" s="510">
        <f t="shared" si="12"/>
        <v>0</v>
      </c>
      <c r="AN33" s="510">
        <f t="shared" si="13"/>
        <v>0</v>
      </c>
    </row>
    <row r="34" spans="1:40" ht="21.75" customHeight="1">
      <c r="A34" s="512" t="str">
        <f t="shared" si="0"/>
        <v>绍兴市--农村户口</v>
      </c>
      <c r="B34" s="512" t="s">
        <v>655</v>
      </c>
      <c r="C34" s="772"/>
      <c r="D34" s="497" t="s">
        <v>524</v>
      </c>
      <c r="E34" s="772"/>
      <c r="F34" s="773"/>
      <c r="G34" s="774"/>
      <c r="H34" s="498">
        <v>2004</v>
      </c>
      <c r="I34" s="498">
        <v>3340</v>
      </c>
      <c r="J34" s="498">
        <v>2004</v>
      </c>
      <c r="K34" s="498">
        <v>2004</v>
      </c>
      <c r="L34" s="498">
        <v>3340</v>
      </c>
      <c r="M34" s="515">
        <v>0.14000000000000001</v>
      </c>
      <c r="N34" s="515">
        <v>0.08</v>
      </c>
      <c r="O34" s="500">
        <f t="shared" si="2"/>
        <v>280.56</v>
      </c>
      <c r="P34" s="500">
        <f t="shared" si="3"/>
        <v>160.32</v>
      </c>
      <c r="Q34" s="516">
        <v>6.5000000000000002E-2</v>
      </c>
      <c r="R34" s="516">
        <v>0.01</v>
      </c>
      <c r="S34" s="502">
        <f t="shared" si="4"/>
        <v>217.1</v>
      </c>
      <c r="T34" s="502">
        <f t="shared" si="5"/>
        <v>33.4</v>
      </c>
      <c r="U34" s="503">
        <v>5</v>
      </c>
      <c r="V34" s="503"/>
      <c r="W34" s="517">
        <v>5.0000000000000001E-3</v>
      </c>
      <c r="X34" s="505"/>
      <c r="Y34" s="506">
        <f t="shared" si="6"/>
        <v>10.02</v>
      </c>
      <c r="Z34" s="506">
        <f t="shared" si="7"/>
        <v>0</v>
      </c>
      <c r="AA34" s="513">
        <v>0.02</v>
      </c>
      <c r="AB34" s="513"/>
      <c r="AC34" s="508">
        <f t="shared" si="8"/>
        <v>40.08</v>
      </c>
      <c r="AD34" s="508">
        <f t="shared" si="9"/>
        <v>0</v>
      </c>
      <c r="AE34" s="518">
        <v>8.0000000000000002E-3</v>
      </c>
      <c r="AF34" s="514"/>
      <c r="AG34" s="510">
        <f>L34*AE34</f>
        <v>26.72</v>
      </c>
      <c r="AH34" s="510">
        <f t="shared" si="11"/>
        <v>0</v>
      </c>
      <c r="AI34" s="511">
        <f t="shared" si="1"/>
        <v>579.48</v>
      </c>
      <c r="AJ34" s="511">
        <f t="shared" si="1"/>
        <v>193.72</v>
      </c>
      <c r="AK34" s="518"/>
      <c r="AL34" s="514"/>
      <c r="AM34" s="510">
        <f>R34*AK34</f>
        <v>0</v>
      </c>
      <c r="AN34" s="510">
        <f t="shared" si="13"/>
        <v>0</v>
      </c>
    </row>
    <row r="35" spans="1:40" ht="21.75" customHeight="1">
      <c r="A35" s="512" t="str">
        <f t="shared" si="0"/>
        <v>衢州市--城镇职工</v>
      </c>
      <c r="B35" s="512" t="s">
        <v>656</v>
      </c>
      <c r="C35" s="772" t="s">
        <v>527</v>
      </c>
      <c r="D35" s="497" t="s">
        <v>476</v>
      </c>
      <c r="E35" s="772" t="s">
        <v>482</v>
      </c>
      <c r="F35" s="776" t="s">
        <v>528</v>
      </c>
      <c r="G35" s="774">
        <v>1200</v>
      </c>
      <c r="H35" s="498">
        <v>2004</v>
      </c>
      <c r="I35" s="498">
        <v>2004</v>
      </c>
      <c r="J35" s="498">
        <v>2004</v>
      </c>
      <c r="K35" s="498">
        <v>2004</v>
      </c>
      <c r="L35" s="498">
        <v>2004</v>
      </c>
      <c r="M35" s="515">
        <v>0.14000000000000001</v>
      </c>
      <c r="N35" s="515">
        <v>0.08</v>
      </c>
      <c r="O35" s="500">
        <f t="shared" si="2"/>
        <v>280.56</v>
      </c>
      <c r="P35" s="500">
        <f t="shared" si="3"/>
        <v>160.32</v>
      </c>
      <c r="Q35" s="516">
        <v>0.05</v>
      </c>
      <c r="R35" s="516">
        <v>0.01</v>
      </c>
      <c r="S35" s="502">
        <f t="shared" si="4"/>
        <v>100.2</v>
      </c>
      <c r="T35" s="502">
        <f t="shared" si="5"/>
        <v>20.04</v>
      </c>
      <c r="U35" s="503"/>
      <c r="V35" s="503">
        <v>11</v>
      </c>
      <c r="W35" s="517">
        <v>6.0000000000000001E-3</v>
      </c>
      <c r="X35" s="505"/>
      <c r="Y35" s="506">
        <f t="shared" si="6"/>
        <v>12.024000000000001</v>
      </c>
      <c r="Z35" s="506">
        <f t="shared" si="7"/>
        <v>0</v>
      </c>
      <c r="AA35" s="513">
        <v>0.02</v>
      </c>
      <c r="AB35" s="513">
        <v>0.01</v>
      </c>
      <c r="AC35" s="508">
        <f t="shared" si="8"/>
        <v>40.08</v>
      </c>
      <c r="AD35" s="508">
        <f t="shared" si="9"/>
        <v>20.04</v>
      </c>
      <c r="AE35" s="518">
        <v>8.0000000000000002E-3</v>
      </c>
      <c r="AF35" s="514"/>
      <c r="AG35" s="510">
        <f t="shared" si="10"/>
        <v>16.032</v>
      </c>
      <c r="AH35" s="510">
        <f t="shared" si="11"/>
        <v>0</v>
      </c>
      <c r="AI35" s="511">
        <f t="shared" si="1"/>
        <v>448.89599999999996</v>
      </c>
      <c r="AJ35" s="511">
        <f t="shared" si="1"/>
        <v>211.39999999999998</v>
      </c>
      <c r="AK35" s="518"/>
      <c r="AL35" s="514"/>
      <c r="AM35" s="510">
        <f t="shared" si="12"/>
        <v>0</v>
      </c>
      <c r="AN35" s="510">
        <f t="shared" si="13"/>
        <v>0</v>
      </c>
    </row>
    <row r="36" spans="1:40" ht="21.75" customHeight="1">
      <c r="A36" s="512" t="str">
        <f t="shared" si="0"/>
        <v>衢州市--农村户口</v>
      </c>
      <c r="B36" s="512" t="s">
        <v>656</v>
      </c>
      <c r="C36" s="772"/>
      <c r="D36" s="497" t="s">
        <v>524</v>
      </c>
      <c r="E36" s="772"/>
      <c r="F36" s="776"/>
      <c r="G36" s="774"/>
      <c r="H36" s="498">
        <v>2004</v>
      </c>
      <c r="I36" s="498">
        <v>2004</v>
      </c>
      <c r="J36" s="498">
        <v>2004</v>
      </c>
      <c r="K36" s="498">
        <v>2004</v>
      </c>
      <c r="L36" s="498">
        <v>2004</v>
      </c>
      <c r="M36" s="515">
        <v>0.14000000000000001</v>
      </c>
      <c r="N36" s="515">
        <v>0.08</v>
      </c>
      <c r="O36" s="500">
        <f t="shared" si="2"/>
        <v>280.56</v>
      </c>
      <c r="P36" s="500">
        <f t="shared" si="3"/>
        <v>160.32</v>
      </c>
      <c r="Q36" s="516">
        <v>0.05</v>
      </c>
      <c r="R36" s="516">
        <v>0.01</v>
      </c>
      <c r="S36" s="502">
        <f t="shared" si="4"/>
        <v>100.2</v>
      </c>
      <c r="T36" s="502">
        <f t="shared" si="5"/>
        <v>20.04</v>
      </c>
      <c r="U36" s="503"/>
      <c r="V36" s="503"/>
      <c r="W36" s="517">
        <v>6.0000000000000001E-3</v>
      </c>
      <c r="X36" s="505"/>
      <c r="Y36" s="506">
        <f t="shared" si="6"/>
        <v>12.024000000000001</v>
      </c>
      <c r="Z36" s="506">
        <f t="shared" si="7"/>
        <v>0</v>
      </c>
      <c r="AA36" s="513">
        <v>0.02</v>
      </c>
      <c r="AB36" s="513"/>
      <c r="AC36" s="508">
        <f t="shared" si="8"/>
        <v>40.08</v>
      </c>
      <c r="AD36" s="508">
        <f t="shared" si="9"/>
        <v>0</v>
      </c>
      <c r="AE36" s="518">
        <v>8.0000000000000002E-3</v>
      </c>
      <c r="AF36" s="514"/>
      <c r="AG36" s="510">
        <f t="shared" si="10"/>
        <v>16.032</v>
      </c>
      <c r="AH36" s="510">
        <f t="shared" si="11"/>
        <v>0</v>
      </c>
      <c r="AI36" s="511">
        <f t="shared" si="1"/>
        <v>448.89599999999996</v>
      </c>
      <c r="AJ36" s="511">
        <f t="shared" si="1"/>
        <v>180.35999999999999</v>
      </c>
      <c r="AK36" s="518"/>
      <c r="AL36" s="514"/>
      <c r="AM36" s="510">
        <f t="shared" si="12"/>
        <v>0</v>
      </c>
      <c r="AN36" s="510">
        <f t="shared" si="13"/>
        <v>0</v>
      </c>
    </row>
    <row r="37" spans="1:40" ht="21.75" customHeight="1">
      <c r="A37" s="512" t="str">
        <f t="shared" si="0"/>
        <v>台州市--城镇职工</v>
      </c>
      <c r="B37" s="512" t="s">
        <v>657</v>
      </c>
      <c r="C37" s="772" t="s">
        <v>529</v>
      </c>
      <c r="D37" s="497" t="s">
        <v>476</v>
      </c>
      <c r="E37" s="772" t="s">
        <v>482</v>
      </c>
      <c r="F37" s="773" t="s">
        <v>530</v>
      </c>
      <c r="G37" s="774">
        <v>1300</v>
      </c>
      <c r="H37" s="498">
        <v>2005</v>
      </c>
      <c r="I37" s="498">
        <v>2005</v>
      </c>
      <c r="J37" s="498">
        <v>2005</v>
      </c>
      <c r="K37" s="498">
        <v>2005</v>
      </c>
      <c r="L37" s="498">
        <v>0</v>
      </c>
      <c r="M37" s="515">
        <v>0.14000000000000001</v>
      </c>
      <c r="N37" s="515">
        <v>0.08</v>
      </c>
      <c r="O37" s="500">
        <f t="shared" si="2"/>
        <v>280.70000000000005</v>
      </c>
      <c r="P37" s="500">
        <f t="shared" si="3"/>
        <v>160.4</v>
      </c>
      <c r="Q37" s="516">
        <v>0.08</v>
      </c>
      <c r="R37" s="516"/>
      <c r="S37" s="502">
        <f t="shared" si="4"/>
        <v>160.4</v>
      </c>
      <c r="T37" s="502">
        <f t="shared" si="5"/>
        <v>0</v>
      </c>
      <c r="U37" s="503"/>
      <c r="V37" s="503">
        <v>5.5</v>
      </c>
      <c r="W37" s="517">
        <v>5.0000000000000001E-3</v>
      </c>
      <c r="X37" s="505"/>
      <c r="Y37" s="506">
        <f t="shared" si="6"/>
        <v>10.025</v>
      </c>
      <c r="Z37" s="506">
        <f t="shared" si="7"/>
        <v>0</v>
      </c>
      <c r="AA37" s="513">
        <v>0.02</v>
      </c>
      <c r="AB37" s="513">
        <v>0.01</v>
      </c>
      <c r="AC37" s="508">
        <f t="shared" si="8"/>
        <v>40.1</v>
      </c>
      <c r="AD37" s="508">
        <f t="shared" si="9"/>
        <v>20.05</v>
      </c>
      <c r="AE37" s="518">
        <v>0.01</v>
      </c>
      <c r="AF37" s="514"/>
      <c r="AG37" s="510">
        <f t="shared" si="10"/>
        <v>0</v>
      </c>
      <c r="AH37" s="510">
        <f t="shared" si="11"/>
        <v>0</v>
      </c>
      <c r="AI37" s="511">
        <f t="shared" si="1"/>
        <v>491.22500000000002</v>
      </c>
      <c r="AJ37" s="511">
        <f t="shared" si="1"/>
        <v>185.95000000000002</v>
      </c>
      <c r="AK37" s="518"/>
      <c r="AL37" s="514"/>
      <c r="AM37" s="510">
        <f t="shared" si="12"/>
        <v>0</v>
      </c>
      <c r="AN37" s="510">
        <f t="shared" si="13"/>
        <v>0</v>
      </c>
    </row>
    <row r="38" spans="1:40" ht="21.75" customHeight="1">
      <c r="A38" s="512" t="str">
        <f t="shared" si="0"/>
        <v>台州市--农村户口</v>
      </c>
      <c r="B38" s="512" t="s">
        <v>657</v>
      </c>
      <c r="C38" s="772"/>
      <c r="D38" s="497" t="s">
        <v>524</v>
      </c>
      <c r="E38" s="772"/>
      <c r="F38" s="773"/>
      <c r="G38" s="774"/>
      <c r="H38" s="498">
        <v>2005</v>
      </c>
      <c r="I38" s="498">
        <v>2005</v>
      </c>
      <c r="J38" s="498">
        <v>2005</v>
      </c>
      <c r="K38" s="498">
        <v>2005</v>
      </c>
      <c r="L38" s="498">
        <v>0</v>
      </c>
      <c r="M38" s="515">
        <v>0.14000000000000001</v>
      </c>
      <c r="N38" s="515">
        <v>0.08</v>
      </c>
      <c r="O38" s="500">
        <f t="shared" si="2"/>
        <v>280.70000000000005</v>
      </c>
      <c r="P38" s="500">
        <f t="shared" si="3"/>
        <v>160.4</v>
      </c>
      <c r="Q38" s="516">
        <v>0.08</v>
      </c>
      <c r="R38" s="516"/>
      <c r="S38" s="502">
        <f t="shared" si="4"/>
        <v>160.4</v>
      </c>
      <c r="T38" s="502">
        <f t="shared" si="5"/>
        <v>0</v>
      </c>
      <c r="U38" s="503"/>
      <c r="V38" s="503">
        <v>5.5</v>
      </c>
      <c r="W38" s="517">
        <v>5.0000000000000001E-3</v>
      </c>
      <c r="X38" s="505"/>
      <c r="Y38" s="506">
        <f t="shared" si="6"/>
        <v>10.025</v>
      </c>
      <c r="Z38" s="506">
        <f t="shared" si="7"/>
        <v>0</v>
      </c>
      <c r="AA38" s="513">
        <v>0.02</v>
      </c>
      <c r="AB38" s="513"/>
      <c r="AC38" s="508">
        <f t="shared" si="8"/>
        <v>40.1</v>
      </c>
      <c r="AD38" s="508">
        <f t="shared" si="9"/>
        <v>0</v>
      </c>
      <c r="AE38" s="518">
        <v>0.01</v>
      </c>
      <c r="AF38" s="514"/>
      <c r="AG38" s="510">
        <f t="shared" si="10"/>
        <v>0</v>
      </c>
      <c r="AH38" s="510">
        <f t="shared" si="11"/>
        <v>0</v>
      </c>
      <c r="AI38" s="511">
        <f t="shared" si="1"/>
        <v>491.22500000000002</v>
      </c>
      <c r="AJ38" s="511">
        <f t="shared" si="1"/>
        <v>165.9</v>
      </c>
      <c r="AK38" s="518"/>
      <c r="AL38" s="514"/>
      <c r="AM38" s="510">
        <f t="shared" si="12"/>
        <v>0</v>
      </c>
      <c r="AN38" s="510">
        <f t="shared" si="13"/>
        <v>0</v>
      </c>
    </row>
    <row r="39" spans="1:40" ht="21.75" customHeight="1">
      <c r="A39" s="512" t="str">
        <f t="shared" si="0"/>
        <v>温州市--城镇职工</v>
      </c>
      <c r="B39" s="512" t="s">
        <v>658</v>
      </c>
      <c r="C39" s="497" t="s">
        <v>531</v>
      </c>
      <c r="D39" s="497" t="s">
        <v>476</v>
      </c>
      <c r="E39" s="497" t="s">
        <v>472</v>
      </c>
      <c r="F39" s="521" t="s">
        <v>532</v>
      </c>
      <c r="G39" s="522">
        <v>1470</v>
      </c>
      <c r="H39" s="498">
        <v>2004.6</v>
      </c>
      <c r="I39" s="498">
        <v>3341</v>
      </c>
      <c r="J39" s="498">
        <v>2004.6</v>
      </c>
      <c r="K39" s="498">
        <v>2004.6</v>
      </c>
      <c r="L39" s="498">
        <v>2004.6</v>
      </c>
      <c r="M39" s="515">
        <v>0.14000000000000001</v>
      </c>
      <c r="N39" s="515">
        <v>0.08</v>
      </c>
      <c r="O39" s="500">
        <f t="shared" si="2"/>
        <v>280.64400000000001</v>
      </c>
      <c r="P39" s="500">
        <f t="shared" si="3"/>
        <v>160.36799999999999</v>
      </c>
      <c r="Q39" s="516">
        <v>9.5000000000000001E-2</v>
      </c>
      <c r="R39" s="516">
        <v>0.02</v>
      </c>
      <c r="S39" s="502">
        <f t="shared" si="4"/>
        <v>317.39499999999998</v>
      </c>
      <c r="T39" s="502">
        <f t="shared" si="5"/>
        <v>66.820000000000007</v>
      </c>
      <c r="U39" s="503"/>
      <c r="V39" s="503">
        <v>9</v>
      </c>
      <c r="W39" s="517">
        <v>4.0000000000000001E-3</v>
      </c>
      <c r="X39" s="505"/>
      <c r="Y39" s="506">
        <f t="shared" si="6"/>
        <v>8.0183999999999997</v>
      </c>
      <c r="Z39" s="506">
        <f t="shared" si="7"/>
        <v>0</v>
      </c>
      <c r="AA39" s="513">
        <v>0.02</v>
      </c>
      <c r="AB39" s="513">
        <v>0.01</v>
      </c>
      <c r="AC39" s="508">
        <f t="shared" si="8"/>
        <v>40.091999999999999</v>
      </c>
      <c r="AD39" s="508">
        <f t="shared" si="9"/>
        <v>20.045999999999999</v>
      </c>
      <c r="AE39" s="518">
        <v>6.0000000000000001E-3</v>
      </c>
      <c r="AF39" s="514"/>
      <c r="AG39" s="510">
        <f t="shared" si="10"/>
        <v>12.0276</v>
      </c>
      <c r="AH39" s="510">
        <f t="shared" si="11"/>
        <v>0</v>
      </c>
      <c r="AI39" s="511">
        <f t="shared" si="1"/>
        <v>658.17700000000002</v>
      </c>
      <c r="AJ39" s="511">
        <f t="shared" si="1"/>
        <v>256.23399999999998</v>
      </c>
      <c r="AK39" s="518"/>
      <c r="AL39" s="514"/>
      <c r="AM39" s="510">
        <f t="shared" si="12"/>
        <v>0</v>
      </c>
      <c r="AN39" s="510">
        <f t="shared" si="13"/>
        <v>0</v>
      </c>
    </row>
    <row r="40" spans="1:40" ht="21.75" customHeight="1">
      <c r="A40" s="512" t="str">
        <f t="shared" si="0"/>
        <v>舟山市--城镇职工</v>
      </c>
      <c r="B40" s="512" t="s">
        <v>659</v>
      </c>
      <c r="C40" s="497" t="s">
        <v>533</v>
      </c>
      <c r="D40" s="497" t="s">
        <v>476</v>
      </c>
      <c r="E40" s="497" t="s">
        <v>477</v>
      </c>
      <c r="F40" s="521" t="s">
        <v>534</v>
      </c>
      <c r="G40" s="522">
        <v>1310</v>
      </c>
      <c r="H40" s="498">
        <v>2005</v>
      </c>
      <c r="I40" s="498">
        <v>2780</v>
      </c>
      <c r="J40" s="498">
        <v>2005</v>
      </c>
      <c r="K40" s="498">
        <v>2005</v>
      </c>
      <c r="L40" s="498">
        <v>2005</v>
      </c>
      <c r="M40" s="515">
        <v>0.14000000000000001</v>
      </c>
      <c r="N40" s="515">
        <v>0.08</v>
      </c>
      <c r="O40" s="500">
        <f t="shared" si="2"/>
        <v>280.70000000000005</v>
      </c>
      <c r="P40" s="500">
        <f t="shared" si="3"/>
        <v>160.4</v>
      </c>
      <c r="Q40" s="516">
        <v>5.5E-2</v>
      </c>
      <c r="R40" s="516"/>
      <c r="S40" s="502">
        <f t="shared" si="4"/>
        <v>152.9</v>
      </c>
      <c r="T40" s="502">
        <f t="shared" si="5"/>
        <v>0</v>
      </c>
      <c r="U40" s="503"/>
      <c r="V40" s="503">
        <v>5</v>
      </c>
      <c r="W40" s="517">
        <v>5.0000000000000001E-3</v>
      </c>
      <c r="X40" s="505"/>
      <c r="Y40" s="506">
        <f t="shared" si="6"/>
        <v>10.025</v>
      </c>
      <c r="Z40" s="506">
        <f t="shared" si="7"/>
        <v>0</v>
      </c>
      <c r="AA40" s="513">
        <v>0.02</v>
      </c>
      <c r="AB40" s="513">
        <v>0.01</v>
      </c>
      <c r="AC40" s="508">
        <f t="shared" si="8"/>
        <v>40.1</v>
      </c>
      <c r="AD40" s="508">
        <f t="shared" si="9"/>
        <v>20.05</v>
      </c>
      <c r="AE40" s="518">
        <v>5.0000000000000001E-3</v>
      </c>
      <c r="AF40" s="514"/>
      <c r="AG40" s="510">
        <f t="shared" si="10"/>
        <v>10.025</v>
      </c>
      <c r="AH40" s="510">
        <f t="shared" si="11"/>
        <v>0</v>
      </c>
      <c r="AI40" s="511">
        <f t="shared" si="1"/>
        <v>493.75</v>
      </c>
      <c r="AJ40" s="511">
        <f t="shared" si="1"/>
        <v>185.45000000000002</v>
      </c>
      <c r="AK40" s="518"/>
      <c r="AL40" s="514"/>
      <c r="AM40" s="510">
        <f t="shared" si="12"/>
        <v>0</v>
      </c>
      <c r="AN40" s="510">
        <f t="shared" si="13"/>
        <v>0</v>
      </c>
    </row>
    <row r="41" spans="1:40" ht="21.75" customHeight="1">
      <c r="A41" s="512" t="str">
        <f t="shared" si="0"/>
        <v>合肥市--城镇职工</v>
      </c>
      <c r="B41" s="512" t="s">
        <v>660</v>
      </c>
      <c r="C41" s="497" t="s">
        <v>535</v>
      </c>
      <c r="D41" s="497" t="s">
        <v>476</v>
      </c>
      <c r="E41" s="497" t="s">
        <v>482</v>
      </c>
      <c r="F41" s="521" t="s">
        <v>536</v>
      </c>
      <c r="G41" s="522">
        <v>1260</v>
      </c>
      <c r="H41" s="498">
        <v>2305</v>
      </c>
      <c r="I41" s="498">
        <v>2305</v>
      </c>
      <c r="J41" s="498">
        <v>2305</v>
      </c>
      <c r="K41" s="498">
        <v>2305</v>
      </c>
      <c r="L41" s="498">
        <v>2305</v>
      </c>
      <c r="M41" s="515">
        <v>0.2</v>
      </c>
      <c r="N41" s="515">
        <v>0.08</v>
      </c>
      <c r="O41" s="500">
        <f t="shared" si="2"/>
        <v>461</v>
      </c>
      <c r="P41" s="500">
        <f t="shared" si="3"/>
        <v>184.4</v>
      </c>
      <c r="Q41" s="516">
        <v>0.08</v>
      </c>
      <c r="R41" s="516">
        <v>0.02</v>
      </c>
      <c r="S41" s="502">
        <f t="shared" si="4"/>
        <v>184.4</v>
      </c>
      <c r="T41" s="502">
        <f t="shared" si="5"/>
        <v>46.1</v>
      </c>
      <c r="U41" s="503">
        <v>15</v>
      </c>
      <c r="V41" s="503"/>
      <c r="W41" s="517">
        <v>5.0000000000000001E-3</v>
      </c>
      <c r="X41" s="505"/>
      <c r="Y41" s="506">
        <f t="shared" si="6"/>
        <v>11.525</v>
      </c>
      <c r="Z41" s="506">
        <f t="shared" si="7"/>
        <v>0</v>
      </c>
      <c r="AA41" s="513">
        <v>0.02</v>
      </c>
      <c r="AB41" s="513">
        <v>0.01</v>
      </c>
      <c r="AC41" s="508">
        <f t="shared" si="8"/>
        <v>46.1</v>
      </c>
      <c r="AD41" s="508">
        <f t="shared" si="9"/>
        <v>23.05</v>
      </c>
      <c r="AE41" s="518">
        <v>8.0000000000000002E-3</v>
      </c>
      <c r="AF41" s="514"/>
      <c r="AG41" s="510">
        <f t="shared" si="10"/>
        <v>18.440000000000001</v>
      </c>
      <c r="AH41" s="510">
        <f t="shared" si="11"/>
        <v>0</v>
      </c>
      <c r="AI41" s="511">
        <f t="shared" si="1"/>
        <v>736.46500000000003</v>
      </c>
      <c r="AJ41" s="511">
        <f t="shared" si="1"/>
        <v>253.55</v>
      </c>
      <c r="AK41" s="518"/>
      <c r="AL41" s="514"/>
      <c r="AM41" s="510">
        <f t="shared" si="12"/>
        <v>0</v>
      </c>
      <c r="AN41" s="510">
        <f t="shared" si="13"/>
        <v>0</v>
      </c>
    </row>
    <row r="42" spans="1:40" ht="21.75" customHeight="1">
      <c r="A42" s="512" t="str">
        <f t="shared" si="0"/>
        <v>芜湖市--城镇职工</v>
      </c>
      <c r="B42" s="512" t="s">
        <v>661</v>
      </c>
      <c r="C42" s="497" t="s">
        <v>537</v>
      </c>
      <c r="D42" s="497" t="s">
        <v>476</v>
      </c>
      <c r="E42" s="497" t="s">
        <v>482</v>
      </c>
      <c r="F42" s="521" t="s">
        <v>538</v>
      </c>
      <c r="G42" s="522">
        <v>1040</v>
      </c>
      <c r="H42" s="498">
        <v>2305</v>
      </c>
      <c r="I42" s="498">
        <v>2305</v>
      </c>
      <c r="J42" s="498">
        <v>2305</v>
      </c>
      <c r="K42" s="498">
        <v>2305</v>
      </c>
      <c r="L42" s="498">
        <v>2305</v>
      </c>
      <c r="M42" s="515">
        <v>0.2</v>
      </c>
      <c r="N42" s="515">
        <v>0.08</v>
      </c>
      <c r="O42" s="500">
        <f t="shared" si="2"/>
        <v>461</v>
      </c>
      <c r="P42" s="500">
        <f t="shared" si="3"/>
        <v>184.4</v>
      </c>
      <c r="Q42" s="516">
        <v>6.5000000000000002E-2</v>
      </c>
      <c r="R42" s="516">
        <v>0.02</v>
      </c>
      <c r="S42" s="502">
        <f t="shared" si="4"/>
        <v>149.82500000000002</v>
      </c>
      <c r="T42" s="502">
        <f t="shared" si="5"/>
        <v>46.1</v>
      </c>
      <c r="U42" s="503"/>
      <c r="V42" s="503">
        <v>23</v>
      </c>
      <c r="W42" s="517">
        <v>5.0000000000000001E-3</v>
      </c>
      <c r="X42" s="505"/>
      <c r="Y42" s="506">
        <f t="shared" si="6"/>
        <v>11.525</v>
      </c>
      <c r="Z42" s="506">
        <f t="shared" si="7"/>
        <v>0</v>
      </c>
      <c r="AA42" s="513">
        <v>0.01</v>
      </c>
      <c r="AB42" s="513">
        <v>0.01</v>
      </c>
      <c r="AC42" s="508">
        <f t="shared" si="8"/>
        <v>23.05</v>
      </c>
      <c r="AD42" s="508">
        <f t="shared" si="9"/>
        <v>23.05</v>
      </c>
      <c r="AE42" s="518">
        <v>5.0000000000000001E-3</v>
      </c>
      <c r="AF42" s="514"/>
      <c r="AG42" s="510">
        <f t="shared" si="10"/>
        <v>11.525</v>
      </c>
      <c r="AH42" s="510">
        <f t="shared" si="11"/>
        <v>0</v>
      </c>
      <c r="AI42" s="511">
        <f t="shared" si="1"/>
        <v>656.92499999999995</v>
      </c>
      <c r="AJ42" s="511">
        <f t="shared" si="1"/>
        <v>276.55</v>
      </c>
      <c r="AK42" s="518"/>
      <c r="AL42" s="514"/>
      <c r="AM42" s="510">
        <f t="shared" si="12"/>
        <v>0</v>
      </c>
      <c r="AN42" s="510">
        <f t="shared" si="13"/>
        <v>0</v>
      </c>
    </row>
    <row r="43" spans="1:40" ht="21.75" customHeight="1">
      <c r="A43" s="512" t="str">
        <f t="shared" si="0"/>
        <v>滁州市--城镇职工</v>
      </c>
      <c r="B43" s="512" t="s">
        <v>662</v>
      </c>
      <c r="C43" s="497" t="s">
        <v>539</v>
      </c>
      <c r="D43" s="497" t="s">
        <v>476</v>
      </c>
      <c r="E43" s="497" t="s">
        <v>482</v>
      </c>
      <c r="F43" s="521" t="s">
        <v>540</v>
      </c>
      <c r="G43" s="522">
        <v>930</v>
      </c>
      <c r="H43" s="498">
        <v>2305</v>
      </c>
      <c r="I43" s="498">
        <v>2305</v>
      </c>
      <c r="J43" s="498">
        <v>2305</v>
      </c>
      <c r="K43" s="498">
        <v>2305</v>
      </c>
      <c r="L43" s="498">
        <v>2305</v>
      </c>
      <c r="M43" s="515">
        <v>0.2</v>
      </c>
      <c r="N43" s="515">
        <v>0.08</v>
      </c>
      <c r="O43" s="500">
        <f t="shared" si="2"/>
        <v>461</v>
      </c>
      <c r="P43" s="500">
        <f t="shared" si="3"/>
        <v>184.4</v>
      </c>
      <c r="Q43" s="516">
        <v>6.5000000000000002E-2</v>
      </c>
      <c r="R43" s="516">
        <v>0.02</v>
      </c>
      <c r="S43" s="502">
        <f t="shared" si="4"/>
        <v>149.82500000000002</v>
      </c>
      <c r="T43" s="502">
        <f t="shared" si="5"/>
        <v>46.1</v>
      </c>
      <c r="U43" s="503">
        <v>10</v>
      </c>
      <c r="V43" s="503"/>
      <c r="W43" s="517">
        <v>5.0000000000000001E-3</v>
      </c>
      <c r="X43" s="505"/>
      <c r="Y43" s="506">
        <f t="shared" si="6"/>
        <v>11.525</v>
      </c>
      <c r="Z43" s="506">
        <f t="shared" si="7"/>
        <v>0</v>
      </c>
      <c r="AA43" s="513">
        <v>0.02</v>
      </c>
      <c r="AB43" s="513">
        <v>0.01</v>
      </c>
      <c r="AC43" s="508">
        <f t="shared" si="8"/>
        <v>46.1</v>
      </c>
      <c r="AD43" s="508">
        <f t="shared" si="9"/>
        <v>23.05</v>
      </c>
      <c r="AE43" s="518">
        <v>8.0000000000000002E-3</v>
      </c>
      <c r="AF43" s="514"/>
      <c r="AG43" s="510">
        <f t="shared" si="10"/>
        <v>18.440000000000001</v>
      </c>
      <c r="AH43" s="510">
        <f t="shared" si="11"/>
        <v>0</v>
      </c>
      <c r="AI43" s="511">
        <f t="shared" si="1"/>
        <v>696.8900000000001</v>
      </c>
      <c r="AJ43" s="511">
        <f t="shared" si="1"/>
        <v>253.55</v>
      </c>
      <c r="AK43" s="518"/>
      <c r="AL43" s="514"/>
      <c r="AM43" s="510">
        <f t="shared" si="12"/>
        <v>0</v>
      </c>
      <c r="AN43" s="510">
        <f t="shared" si="13"/>
        <v>0</v>
      </c>
    </row>
    <row r="44" spans="1:40" ht="21.75" customHeight="1">
      <c r="A44" s="512" t="str">
        <f t="shared" si="0"/>
        <v>马鞍山市--城镇职工</v>
      </c>
      <c r="B44" s="512" t="s">
        <v>663</v>
      </c>
      <c r="C44" s="497" t="s">
        <v>541</v>
      </c>
      <c r="D44" s="497" t="s">
        <v>506</v>
      </c>
      <c r="E44" s="497" t="s">
        <v>542</v>
      </c>
      <c r="F44" s="521" t="s">
        <v>543</v>
      </c>
      <c r="G44" s="522">
        <v>1040</v>
      </c>
      <c r="H44" s="498">
        <v>2305</v>
      </c>
      <c r="I44" s="498">
        <v>2305</v>
      </c>
      <c r="J44" s="498">
        <v>2305</v>
      </c>
      <c r="K44" s="498">
        <v>2305</v>
      </c>
      <c r="L44" s="498">
        <v>2305</v>
      </c>
      <c r="M44" s="515">
        <v>0.2</v>
      </c>
      <c r="N44" s="515">
        <v>0.02</v>
      </c>
      <c r="O44" s="500">
        <f t="shared" si="2"/>
        <v>461</v>
      </c>
      <c r="P44" s="500">
        <f t="shared" si="3"/>
        <v>46.1</v>
      </c>
      <c r="Q44" s="516">
        <v>0.08</v>
      </c>
      <c r="R44" s="516">
        <v>0.02</v>
      </c>
      <c r="S44" s="502">
        <f t="shared" si="4"/>
        <v>184.4</v>
      </c>
      <c r="T44" s="502">
        <f t="shared" si="5"/>
        <v>46.1</v>
      </c>
      <c r="U44" s="503">
        <v>4</v>
      </c>
      <c r="V44" s="503"/>
      <c r="W44" s="517">
        <v>5.0000000000000001E-3</v>
      </c>
      <c r="X44" s="505"/>
      <c r="Y44" s="506">
        <f t="shared" si="6"/>
        <v>11.525</v>
      </c>
      <c r="Z44" s="506"/>
      <c r="AA44" s="513">
        <v>0.02</v>
      </c>
      <c r="AB44" s="513"/>
      <c r="AC44" s="508">
        <f>AA44*K44</f>
        <v>46.1</v>
      </c>
      <c r="AD44" s="508"/>
      <c r="AE44" s="518">
        <v>8.0000000000000002E-3</v>
      </c>
      <c r="AF44" s="514"/>
      <c r="AG44" s="510">
        <f t="shared" si="10"/>
        <v>18.440000000000001</v>
      </c>
      <c r="AH44" s="510"/>
      <c r="AI44" s="511">
        <f>AG44+AC44+Y44+U44+S44+O44</f>
        <v>725.46500000000003</v>
      </c>
      <c r="AJ44" s="511">
        <f>T44+P44</f>
        <v>92.2</v>
      </c>
      <c r="AK44" s="518"/>
      <c r="AL44" s="514"/>
      <c r="AM44" s="510">
        <f t="shared" si="12"/>
        <v>0</v>
      </c>
      <c r="AN44" s="510"/>
    </row>
    <row r="45" spans="1:40" ht="21.75" customHeight="1">
      <c r="A45" s="512" t="str">
        <f t="shared" si="0"/>
        <v>淮北市--城镇职工</v>
      </c>
      <c r="B45" s="512" t="s">
        <v>664</v>
      </c>
      <c r="C45" s="497" t="s">
        <v>544</v>
      </c>
      <c r="D45" s="497" t="s">
        <v>506</v>
      </c>
      <c r="E45" s="497" t="s">
        <v>542</v>
      </c>
      <c r="F45" s="521" t="s">
        <v>545</v>
      </c>
      <c r="G45" s="522">
        <v>1040</v>
      </c>
      <c r="H45" s="498">
        <v>2305</v>
      </c>
      <c r="I45" s="498">
        <v>2305</v>
      </c>
      <c r="J45" s="498">
        <v>2305</v>
      </c>
      <c r="K45" s="498">
        <v>2305</v>
      </c>
      <c r="L45" s="498">
        <v>2305</v>
      </c>
      <c r="M45" s="515">
        <v>0.2</v>
      </c>
      <c r="N45" s="515">
        <v>0.08</v>
      </c>
      <c r="O45" s="500">
        <f t="shared" si="2"/>
        <v>461</v>
      </c>
      <c r="P45" s="500">
        <f t="shared" si="3"/>
        <v>184.4</v>
      </c>
      <c r="Q45" s="516">
        <v>0.08</v>
      </c>
      <c r="R45" s="516">
        <v>0.02</v>
      </c>
      <c r="S45" s="502">
        <f t="shared" si="4"/>
        <v>184.4</v>
      </c>
      <c r="T45" s="502">
        <f t="shared" si="5"/>
        <v>46.1</v>
      </c>
      <c r="U45" s="503"/>
      <c r="V45" s="503"/>
      <c r="W45" s="517">
        <v>4.0000000000000001E-3</v>
      </c>
      <c r="X45" s="505"/>
      <c r="Y45" s="506">
        <f t="shared" si="6"/>
        <v>9.2200000000000006</v>
      </c>
      <c r="Z45" s="506"/>
      <c r="AA45" s="513">
        <v>0.02</v>
      </c>
      <c r="AB45" s="513"/>
      <c r="AC45" s="508">
        <f>AA45*K45</f>
        <v>46.1</v>
      </c>
      <c r="AD45" s="508"/>
      <c r="AE45" s="518">
        <v>8.0000000000000002E-3</v>
      </c>
      <c r="AF45" s="514"/>
      <c r="AG45" s="510">
        <f t="shared" si="10"/>
        <v>18.440000000000001</v>
      </c>
      <c r="AH45" s="510"/>
      <c r="AI45" s="511">
        <f>AG45+AC45+Y45+S45+O45</f>
        <v>719.16000000000008</v>
      </c>
      <c r="AJ45" s="511">
        <f>T45+P45</f>
        <v>230.5</v>
      </c>
      <c r="AK45" s="518"/>
      <c r="AL45" s="514"/>
      <c r="AM45" s="510">
        <f t="shared" si="12"/>
        <v>0</v>
      </c>
      <c r="AN45" s="510"/>
    </row>
    <row r="46" spans="1:40" ht="36" customHeight="1">
      <c r="A46" s="512" t="str">
        <f t="shared" si="0"/>
        <v>成都市--本地城镇、非城镇、外地城镇</v>
      </c>
      <c r="B46" s="512" t="s">
        <v>665</v>
      </c>
      <c r="C46" s="772" t="s">
        <v>546</v>
      </c>
      <c r="D46" s="526" t="s">
        <v>547</v>
      </c>
      <c r="E46" s="772" t="s">
        <v>472</v>
      </c>
      <c r="F46" s="773" t="s">
        <v>548</v>
      </c>
      <c r="G46" s="774">
        <v>1200</v>
      </c>
      <c r="H46" s="498">
        <v>2156</v>
      </c>
      <c r="I46" s="498">
        <v>2156</v>
      </c>
      <c r="J46" s="498">
        <v>2156</v>
      </c>
      <c r="K46" s="498">
        <v>2156</v>
      </c>
      <c r="L46" s="498">
        <v>2156</v>
      </c>
      <c r="M46" s="515">
        <v>0.2</v>
      </c>
      <c r="N46" s="515">
        <v>0.08</v>
      </c>
      <c r="O46" s="500">
        <f t="shared" si="2"/>
        <v>431.20000000000005</v>
      </c>
      <c r="P46" s="500">
        <f t="shared" si="3"/>
        <v>172.48</v>
      </c>
      <c r="Q46" s="516">
        <v>7.4999999999999997E-2</v>
      </c>
      <c r="R46" s="516">
        <v>0.02</v>
      </c>
      <c r="S46" s="502">
        <f t="shared" si="4"/>
        <v>161.69999999999999</v>
      </c>
      <c r="T46" s="502">
        <f t="shared" si="5"/>
        <v>43.12</v>
      </c>
      <c r="U46" s="503">
        <v>19.11</v>
      </c>
      <c r="V46" s="503"/>
      <c r="W46" s="517">
        <v>6.0000000000000001E-3</v>
      </c>
      <c r="X46" s="505"/>
      <c r="Y46" s="506">
        <f t="shared" si="6"/>
        <v>12.936</v>
      </c>
      <c r="Z46" s="506">
        <f t="shared" si="7"/>
        <v>0</v>
      </c>
      <c r="AA46" s="513">
        <v>0.02</v>
      </c>
      <c r="AB46" s="513">
        <v>0.01</v>
      </c>
      <c r="AC46" s="508">
        <f t="shared" si="8"/>
        <v>43.12</v>
      </c>
      <c r="AD46" s="508">
        <f t="shared" si="9"/>
        <v>21.56</v>
      </c>
      <c r="AE46" s="518">
        <v>6.0000000000000001E-3</v>
      </c>
      <c r="AF46" s="514"/>
      <c r="AG46" s="510">
        <f t="shared" si="10"/>
        <v>12.936</v>
      </c>
      <c r="AH46" s="510">
        <f t="shared" si="11"/>
        <v>0</v>
      </c>
      <c r="AI46" s="511">
        <f t="shared" si="1"/>
        <v>681.00200000000018</v>
      </c>
      <c r="AJ46" s="511">
        <f t="shared" si="1"/>
        <v>237.16</v>
      </c>
      <c r="AK46" s="518"/>
      <c r="AL46" s="514"/>
      <c r="AM46" s="510">
        <f t="shared" si="12"/>
        <v>0</v>
      </c>
      <c r="AN46" s="510">
        <f t="shared" ref="AN46:AN47" si="14">R46*AL46</f>
        <v>0</v>
      </c>
    </row>
    <row r="47" spans="1:40" ht="21.75" customHeight="1">
      <c r="A47" s="512" t="str">
        <f t="shared" si="0"/>
        <v>成都市--外地农村户口</v>
      </c>
      <c r="B47" s="512" t="s">
        <v>665</v>
      </c>
      <c r="C47" s="772"/>
      <c r="D47" s="497" t="s">
        <v>549</v>
      </c>
      <c r="E47" s="772"/>
      <c r="F47" s="773"/>
      <c r="G47" s="774"/>
      <c r="H47" s="498">
        <v>2156</v>
      </c>
      <c r="I47" s="498">
        <v>2156</v>
      </c>
      <c r="J47" s="498">
        <v>2156</v>
      </c>
      <c r="K47" s="498">
        <v>2156</v>
      </c>
      <c r="L47" s="498">
        <v>2156</v>
      </c>
      <c r="M47" s="515">
        <v>0.12</v>
      </c>
      <c r="N47" s="515">
        <v>0.08</v>
      </c>
      <c r="O47" s="500">
        <f t="shared" si="2"/>
        <v>258.71999999999997</v>
      </c>
      <c r="P47" s="500">
        <f t="shared" si="3"/>
        <v>172.48</v>
      </c>
      <c r="Q47" s="516">
        <v>2.5000000000000001E-2</v>
      </c>
      <c r="R47" s="516"/>
      <c r="S47" s="502">
        <f t="shared" si="4"/>
        <v>53.900000000000006</v>
      </c>
      <c r="T47" s="502">
        <f t="shared" si="5"/>
        <v>0</v>
      </c>
      <c r="U47" s="503"/>
      <c r="V47" s="503"/>
      <c r="W47" s="517">
        <v>6.0000000000000001E-3</v>
      </c>
      <c r="X47" s="505"/>
      <c r="Y47" s="506">
        <f t="shared" si="6"/>
        <v>12.936</v>
      </c>
      <c r="Z47" s="506">
        <f t="shared" si="7"/>
        <v>0</v>
      </c>
      <c r="AA47" s="513">
        <v>0.02</v>
      </c>
      <c r="AB47" s="513"/>
      <c r="AC47" s="508">
        <f t="shared" si="8"/>
        <v>43.12</v>
      </c>
      <c r="AD47" s="508">
        <f t="shared" si="9"/>
        <v>0</v>
      </c>
      <c r="AE47" s="518">
        <v>6.0000000000000001E-3</v>
      </c>
      <c r="AF47" s="514"/>
      <c r="AG47" s="510">
        <f t="shared" si="10"/>
        <v>12.936</v>
      </c>
      <c r="AH47" s="510">
        <f t="shared" si="11"/>
        <v>0</v>
      </c>
      <c r="AI47" s="511">
        <f t="shared" si="1"/>
        <v>381.61199999999997</v>
      </c>
      <c r="AJ47" s="511">
        <f t="shared" si="1"/>
        <v>172.48</v>
      </c>
      <c r="AK47" s="518"/>
      <c r="AL47" s="514"/>
      <c r="AM47" s="510">
        <f t="shared" si="12"/>
        <v>0</v>
      </c>
      <c r="AN47" s="510">
        <f t="shared" si="14"/>
        <v>0</v>
      </c>
    </row>
    <row r="48" spans="1:40" ht="21.75" customHeight="1">
      <c r="A48" s="512" t="str">
        <f t="shared" si="0"/>
        <v>绵阳市--城镇/农业户口</v>
      </c>
      <c r="B48" s="512" t="s">
        <v>666</v>
      </c>
      <c r="C48" s="497" t="s">
        <v>550</v>
      </c>
      <c r="D48" s="497" t="s">
        <v>551</v>
      </c>
      <c r="E48" s="497" t="s">
        <v>542</v>
      </c>
      <c r="F48" s="521" t="s">
        <v>552</v>
      </c>
      <c r="G48" s="522">
        <v>1140</v>
      </c>
      <c r="H48" s="498">
        <v>2156</v>
      </c>
      <c r="I48" s="498">
        <v>3536</v>
      </c>
      <c r="J48" s="498">
        <v>2156</v>
      </c>
      <c r="K48" s="498">
        <v>2122</v>
      </c>
      <c r="L48" s="498">
        <v>2156</v>
      </c>
      <c r="M48" s="515">
        <v>0.2</v>
      </c>
      <c r="N48" s="515">
        <v>0.08</v>
      </c>
      <c r="O48" s="500">
        <f t="shared" si="2"/>
        <v>431.20000000000005</v>
      </c>
      <c r="P48" s="500">
        <f t="shared" si="3"/>
        <v>172.48</v>
      </c>
      <c r="Q48" s="516">
        <v>7.0000000000000007E-2</v>
      </c>
      <c r="R48" s="516">
        <v>0.02</v>
      </c>
      <c r="S48" s="502">
        <f t="shared" si="4"/>
        <v>247.52</v>
      </c>
      <c r="T48" s="502"/>
      <c r="U48" s="503"/>
      <c r="V48" s="503"/>
      <c r="W48" s="517">
        <v>7.0000000000000001E-3</v>
      </c>
      <c r="X48" s="505"/>
      <c r="Y48" s="506">
        <f t="shared" si="6"/>
        <v>15.092000000000001</v>
      </c>
      <c r="Z48" s="506"/>
      <c r="AA48" s="513">
        <v>0.02</v>
      </c>
      <c r="AB48" s="513">
        <v>0.01</v>
      </c>
      <c r="AC48" s="508">
        <f>AA48*K48</f>
        <v>42.44</v>
      </c>
      <c r="AD48" s="508">
        <f>AB48*K48</f>
        <v>21.22</v>
      </c>
      <c r="AE48" s="518">
        <v>6.0000000000000001E-3</v>
      </c>
      <c r="AF48" s="514"/>
      <c r="AG48" s="510">
        <f>AE48*L48</f>
        <v>12.936</v>
      </c>
      <c r="AH48" s="510"/>
      <c r="AI48" s="511">
        <f>AG48+AC48+Y48+S48+O48</f>
        <v>749.1880000000001</v>
      </c>
      <c r="AJ48" s="511">
        <f>AD48+P48</f>
        <v>193.7</v>
      </c>
      <c r="AK48" s="518"/>
      <c r="AL48" s="514"/>
      <c r="AM48" s="510">
        <f>AK48*R48</f>
        <v>0</v>
      </c>
      <c r="AN48" s="510"/>
    </row>
    <row r="49" spans="1:40" ht="21.75" customHeight="1">
      <c r="A49" s="512" t="str">
        <f t="shared" si="0"/>
        <v>长春市--社保医保</v>
      </c>
      <c r="B49" s="512" t="s">
        <v>667</v>
      </c>
      <c r="C49" s="497" t="s">
        <v>553</v>
      </c>
      <c r="D49" s="497" t="s">
        <v>554</v>
      </c>
      <c r="E49" s="497" t="s">
        <v>503</v>
      </c>
      <c r="F49" s="521" t="s">
        <v>555</v>
      </c>
      <c r="G49" s="522">
        <v>1320</v>
      </c>
      <c r="H49" s="498">
        <v>2314</v>
      </c>
      <c r="I49" s="498">
        <v>2314</v>
      </c>
      <c r="J49" s="498">
        <v>2314</v>
      </c>
      <c r="K49" s="498">
        <v>2314</v>
      </c>
      <c r="L49" s="498">
        <v>2314</v>
      </c>
      <c r="M49" s="515">
        <v>0.2</v>
      </c>
      <c r="N49" s="515">
        <v>0.08</v>
      </c>
      <c r="O49" s="500">
        <f t="shared" si="2"/>
        <v>462.8</v>
      </c>
      <c r="P49" s="500">
        <f t="shared" si="3"/>
        <v>185.12</v>
      </c>
      <c r="Q49" s="516">
        <v>7.0000000000000007E-2</v>
      </c>
      <c r="R49" s="516">
        <v>0.02</v>
      </c>
      <c r="S49" s="502">
        <f t="shared" si="4"/>
        <v>161.98000000000002</v>
      </c>
      <c r="T49" s="502">
        <f t="shared" si="5"/>
        <v>46.28</v>
      </c>
      <c r="U49" s="503"/>
      <c r="V49" s="503">
        <f>100/12</f>
        <v>8.3333333333333339</v>
      </c>
      <c r="W49" s="517">
        <v>5.0000000000000001E-3</v>
      </c>
      <c r="X49" s="505"/>
      <c r="Y49" s="506">
        <f t="shared" si="6"/>
        <v>11.57</v>
      </c>
      <c r="Z49" s="506">
        <f t="shared" si="7"/>
        <v>0</v>
      </c>
      <c r="AA49" s="513">
        <v>0.02</v>
      </c>
      <c r="AB49" s="513">
        <v>0.01</v>
      </c>
      <c r="AC49" s="508">
        <f t="shared" si="8"/>
        <v>46.28</v>
      </c>
      <c r="AD49" s="508">
        <f t="shared" si="9"/>
        <v>23.14</v>
      </c>
      <c r="AE49" s="518">
        <v>7.0000000000000001E-3</v>
      </c>
      <c r="AF49" s="514"/>
      <c r="AG49" s="510">
        <f t="shared" si="10"/>
        <v>16.198</v>
      </c>
      <c r="AH49" s="510">
        <f t="shared" si="11"/>
        <v>0</v>
      </c>
      <c r="AI49" s="511">
        <f t="shared" si="1"/>
        <v>698.82799999999997</v>
      </c>
      <c r="AJ49" s="511">
        <f t="shared" si="1"/>
        <v>262.87333333333333</v>
      </c>
      <c r="AK49" s="518"/>
      <c r="AL49" s="514"/>
      <c r="AM49" s="510">
        <f t="shared" ref="AM49:AM59" si="15">R49*AK49</f>
        <v>0</v>
      </c>
      <c r="AN49" s="510">
        <f t="shared" ref="AN49:AN61" si="16">R49*AL49</f>
        <v>0</v>
      </c>
    </row>
    <row r="50" spans="1:40" ht="21.75" customHeight="1">
      <c r="A50" s="512" t="str">
        <f t="shared" si="0"/>
        <v>沈阳市--城镇职工</v>
      </c>
      <c r="B50" s="512" t="s">
        <v>668</v>
      </c>
      <c r="C50" s="497" t="s">
        <v>556</v>
      </c>
      <c r="D50" s="497" t="s">
        <v>476</v>
      </c>
      <c r="E50" s="497" t="s">
        <v>482</v>
      </c>
      <c r="F50" s="521" t="s">
        <v>557</v>
      </c>
      <c r="G50" s="522">
        <v>1300</v>
      </c>
      <c r="H50" s="498">
        <f>4158.33*60%</f>
        <v>2494.998</v>
      </c>
      <c r="I50" s="498">
        <v>4060</v>
      </c>
      <c r="J50" s="498">
        <v>2495</v>
      </c>
      <c r="K50" s="498">
        <f>4158.33*60%</f>
        <v>2494.998</v>
      </c>
      <c r="L50" s="498">
        <v>4060</v>
      </c>
      <c r="M50" s="515">
        <v>0.2</v>
      </c>
      <c r="N50" s="515">
        <v>0.08</v>
      </c>
      <c r="O50" s="500">
        <f t="shared" si="2"/>
        <v>498.99960000000004</v>
      </c>
      <c r="P50" s="500">
        <f t="shared" si="3"/>
        <v>199.59984</v>
      </c>
      <c r="Q50" s="516">
        <v>0.08</v>
      </c>
      <c r="R50" s="516">
        <v>0.02</v>
      </c>
      <c r="S50" s="502">
        <f t="shared" si="4"/>
        <v>324.8</v>
      </c>
      <c r="T50" s="502">
        <f t="shared" si="5"/>
        <v>81.2</v>
      </c>
      <c r="U50" s="503">
        <f>96/2/12</f>
        <v>4</v>
      </c>
      <c r="V50" s="503">
        <f>96/2/12</f>
        <v>4</v>
      </c>
      <c r="W50" s="517">
        <v>6.0000000000000001E-3</v>
      </c>
      <c r="X50" s="505"/>
      <c r="Y50" s="506">
        <f>W50*J50</f>
        <v>14.97</v>
      </c>
      <c r="Z50" s="506">
        <f>J50*X50</f>
        <v>0</v>
      </c>
      <c r="AA50" s="513">
        <v>0.01</v>
      </c>
      <c r="AB50" s="513">
        <v>0.01</v>
      </c>
      <c r="AC50" s="508">
        <f t="shared" si="8"/>
        <v>24.94998</v>
      </c>
      <c r="AD50" s="508">
        <f t="shared" si="9"/>
        <v>24.94998</v>
      </c>
      <c r="AE50" s="527">
        <v>3.0000000000000001E-3</v>
      </c>
      <c r="AF50" s="514"/>
      <c r="AG50" s="510">
        <f t="shared" si="10"/>
        <v>12.18</v>
      </c>
      <c r="AH50" s="510">
        <f t="shared" si="11"/>
        <v>0</v>
      </c>
      <c r="AI50" s="511">
        <f>O50+S50+Y50+AC50+AG50+4</f>
        <v>879.89958000000001</v>
      </c>
      <c r="AJ50" s="511">
        <f>P50+T50+4+Z50+AD50+AH50</f>
        <v>309.74982</v>
      </c>
      <c r="AK50" s="527"/>
      <c r="AL50" s="514"/>
      <c r="AM50" s="510">
        <f t="shared" si="15"/>
        <v>0</v>
      </c>
      <c r="AN50" s="510">
        <f t="shared" si="16"/>
        <v>0</v>
      </c>
    </row>
    <row r="51" spans="1:40" ht="21.75" customHeight="1">
      <c r="A51" s="512" t="str">
        <f t="shared" si="0"/>
        <v>大连市--城镇职工</v>
      </c>
      <c r="B51" s="512" t="s">
        <v>669</v>
      </c>
      <c r="C51" s="772" t="s">
        <v>558</v>
      </c>
      <c r="D51" s="497" t="s">
        <v>476</v>
      </c>
      <c r="E51" s="772" t="s">
        <v>482</v>
      </c>
      <c r="F51" s="773" t="s">
        <v>559</v>
      </c>
      <c r="G51" s="774">
        <v>1300</v>
      </c>
      <c r="H51" s="498">
        <v>2741</v>
      </c>
      <c r="I51" s="498">
        <v>2741</v>
      </c>
      <c r="J51" s="498">
        <v>2741</v>
      </c>
      <c r="K51" s="498">
        <v>2741</v>
      </c>
      <c r="L51" s="498">
        <v>2741</v>
      </c>
      <c r="M51" s="515">
        <v>0.18</v>
      </c>
      <c r="N51" s="515">
        <v>0.08</v>
      </c>
      <c r="O51" s="500">
        <f t="shared" si="2"/>
        <v>493.38</v>
      </c>
      <c r="P51" s="500">
        <f t="shared" si="3"/>
        <v>219.28</v>
      </c>
      <c r="Q51" s="516">
        <v>0.08</v>
      </c>
      <c r="R51" s="516">
        <v>0.02</v>
      </c>
      <c r="S51" s="502">
        <f t="shared" si="4"/>
        <v>219.28</v>
      </c>
      <c r="T51" s="502">
        <f t="shared" si="5"/>
        <v>54.82</v>
      </c>
      <c r="U51" s="503"/>
      <c r="V51" s="503">
        <v>2</v>
      </c>
      <c r="W51" s="517">
        <v>5.0000000000000001E-3</v>
      </c>
      <c r="X51" s="505"/>
      <c r="Y51" s="506">
        <f t="shared" si="6"/>
        <v>13.705</v>
      </c>
      <c r="Z51" s="506">
        <f t="shared" si="7"/>
        <v>0</v>
      </c>
      <c r="AA51" s="513">
        <v>0.02</v>
      </c>
      <c r="AB51" s="513">
        <v>0.01</v>
      </c>
      <c r="AC51" s="508">
        <f t="shared" si="8"/>
        <v>54.82</v>
      </c>
      <c r="AD51" s="508">
        <f t="shared" si="9"/>
        <v>27.41</v>
      </c>
      <c r="AE51" s="518">
        <v>2E-3</v>
      </c>
      <c r="AF51" s="514"/>
      <c r="AG51" s="510">
        <f t="shared" si="10"/>
        <v>5.4820000000000002</v>
      </c>
      <c r="AH51" s="510">
        <f t="shared" si="11"/>
        <v>0</v>
      </c>
      <c r="AI51" s="511">
        <f t="shared" si="1"/>
        <v>786.66700000000003</v>
      </c>
      <c r="AJ51" s="511">
        <f t="shared" si="1"/>
        <v>303.51000000000005</v>
      </c>
      <c r="AK51" s="518"/>
      <c r="AL51" s="514"/>
      <c r="AM51" s="510">
        <f t="shared" si="15"/>
        <v>0</v>
      </c>
      <c r="AN51" s="510">
        <f t="shared" si="16"/>
        <v>0</v>
      </c>
    </row>
    <row r="52" spans="1:40" ht="21.75" customHeight="1">
      <c r="A52" s="512" t="str">
        <f t="shared" si="0"/>
        <v>大连市--外来农户</v>
      </c>
      <c r="B52" s="512" t="s">
        <v>669</v>
      </c>
      <c r="C52" s="772"/>
      <c r="D52" s="497" t="s">
        <v>474</v>
      </c>
      <c r="E52" s="772"/>
      <c r="F52" s="773"/>
      <c r="G52" s="774"/>
      <c r="H52" s="498">
        <v>2741</v>
      </c>
      <c r="I52" s="498">
        <v>2741</v>
      </c>
      <c r="J52" s="498">
        <v>2741</v>
      </c>
      <c r="K52" s="498">
        <v>2741</v>
      </c>
      <c r="L52" s="498">
        <v>2741</v>
      </c>
      <c r="M52" s="515">
        <v>0.18</v>
      </c>
      <c r="N52" s="515">
        <v>0.08</v>
      </c>
      <c r="O52" s="500">
        <f t="shared" si="2"/>
        <v>493.38</v>
      </c>
      <c r="P52" s="500">
        <f t="shared" si="3"/>
        <v>219.28</v>
      </c>
      <c r="Q52" s="516">
        <v>0.08</v>
      </c>
      <c r="R52" s="516">
        <v>0.02</v>
      </c>
      <c r="S52" s="502">
        <f t="shared" si="4"/>
        <v>219.28</v>
      </c>
      <c r="T52" s="502">
        <f t="shared" si="5"/>
        <v>54.82</v>
      </c>
      <c r="U52" s="503"/>
      <c r="V52" s="503">
        <v>2</v>
      </c>
      <c r="W52" s="517">
        <v>5.0000000000000001E-3</v>
      </c>
      <c r="X52" s="505"/>
      <c r="Y52" s="506">
        <f t="shared" si="6"/>
        <v>13.705</v>
      </c>
      <c r="Z52" s="506">
        <f t="shared" si="7"/>
        <v>0</v>
      </c>
      <c r="AA52" s="513">
        <v>0.02</v>
      </c>
      <c r="AB52" s="513"/>
      <c r="AC52" s="508">
        <f t="shared" si="8"/>
        <v>54.82</v>
      </c>
      <c r="AD52" s="508">
        <f t="shared" si="9"/>
        <v>0</v>
      </c>
      <c r="AE52" s="518">
        <v>2E-3</v>
      </c>
      <c r="AF52" s="514"/>
      <c r="AG52" s="510">
        <f t="shared" si="10"/>
        <v>5.4820000000000002</v>
      </c>
      <c r="AH52" s="510">
        <f t="shared" si="11"/>
        <v>0</v>
      </c>
      <c r="AI52" s="511">
        <f t="shared" si="1"/>
        <v>786.66700000000003</v>
      </c>
      <c r="AJ52" s="511">
        <f t="shared" si="1"/>
        <v>276.10000000000002</v>
      </c>
      <c r="AK52" s="518"/>
      <c r="AL52" s="514"/>
      <c r="AM52" s="510">
        <f t="shared" si="15"/>
        <v>0</v>
      </c>
      <c r="AN52" s="510">
        <f t="shared" si="16"/>
        <v>0</v>
      </c>
    </row>
    <row r="53" spans="1:40" ht="21.75" customHeight="1">
      <c r="A53" s="512" t="str">
        <f t="shared" si="0"/>
        <v>郑州市--城镇职工</v>
      </c>
      <c r="B53" s="512" t="s">
        <v>670</v>
      </c>
      <c r="C53" s="497" t="s">
        <v>560</v>
      </c>
      <c r="D53" s="497" t="s">
        <v>476</v>
      </c>
      <c r="E53" s="497" t="s">
        <v>482</v>
      </c>
      <c r="F53" s="521" t="s">
        <v>561</v>
      </c>
      <c r="G53" s="522">
        <v>1240</v>
      </c>
      <c r="H53" s="498">
        <v>2074</v>
      </c>
      <c r="I53" s="498">
        <v>2074</v>
      </c>
      <c r="J53" s="498">
        <v>2074</v>
      </c>
      <c r="K53" s="498">
        <v>2074</v>
      </c>
      <c r="L53" s="498">
        <v>2074</v>
      </c>
      <c r="M53" s="515">
        <v>0.2</v>
      </c>
      <c r="N53" s="515">
        <v>0.08</v>
      </c>
      <c r="O53" s="500">
        <f t="shared" si="2"/>
        <v>414.8</v>
      </c>
      <c r="P53" s="500">
        <f t="shared" si="3"/>
        <v>165.92000000000002</v>
      </c>
      <c r="Q53" s="516">
        <v>0.08</v>
      </c>
      <c r="R53" s="516">
        <v>0.02</v>
      </c>
      <c r="S53" s="502">
        <f t="shared" si="4"/>
        <v>165.92000000000002</v>
      </c>
      <c r="T53" s="502">
        <f t="shared" si="5"/>
        <v>41.480000000000004</v>
      </c>
      <c r="U53" s="503"/>
      <c r="V53" s="503">
        <v>9</v>
      </c>
      <c r="W53" s="517">
        <v>5.0000000000000001E-3</v>
      </c>
      <c r="X53" s="505"/>
      <c r="Y53" s="506">
        <f t="shared" si="6"/>
        <v>10.370000000000001</v>
      </c>
      <c r="Z53" s="506">
        <f t="shared" si="7"/>
        <v>0</v>
      </c>
      <c r="AA53" s="513">
        <v>0.02</v>
      </c>
      <c r="AB53" s="513">
        <v>0.01</v>
      </c>
      <c r="AC53" s="508">
        <f t="shared" si="8"/>
        <v>41.480000000000004</v>
      </c>
      <c r="AD53" s="508">
        <f t="shared" si="9"/>
        <v>20.740000000000002</v>
      </c>
      <c r="AE53" s="518">
        <v>0.01</v>
      </c>
      <c r="AF53" s="514"/>
      <c r="AG53" s="510">
        <f t="shared" si="10"/>
        <v>20.740000000000002</v>
      </c>
      <c r="AH53" s="510">
        <f t="shared" si="11"/>
        <v>0</v>
      </c>
      <c r="AI53" s="511">
        <f t="shared" si="1"/>
        <v>653.31000000000006</v>
      </c>
      <c r="AJ53" s="511">
        <f t="shared" si="1"/>
        <v>237.14000000000004</v>
      </c>
      <c r="AK53" s="518"/>
      <c r="AL53" s="514"/>
      <c r="AM53" s="510">
        <f t="shared" si="15"/>
        <v>0</v>
      </c>
      <c r="AN53" s="510">
        <f t="shared" si="16"/>
        <v>0</v>
      </c>
    </row>
    <row r="54" spans="1:40" ht="21.75" customHeight="1">
      <c r="A54" s="512" t="str">
        <f t="shared" si="0"/>
        <v>洛阳市--城镇职工</v>
      </c>
      <c r="B54" s="512" t="s">
        <v>671</v>
      </c>
      <c r="C54" s="497" t="s">
        <v>562</v>
      </c>
      <c r="D54" s="497" t="s">
        <v>476</v>
      </c>
      <c r="E54" s="497" t="s">
        <v>482</v>
      </c>
      <c r="F54" s="521" t="s">
        <v>563</v>
      </c>
      <c r="G54" s="522">
        <v>1240</v>
      </c>
      <c r="H54" s="498">
        <v>1916.1</v>
      </c>
      <c r="I54" s="498">
        <v>1916.1</v>
      </c>
      <c r="J54" s="498">
        <v>1916.1</v>
      </c>
      <c r="K54" s="498">
        <v>1916.1</v>
      </c>
      <c r="L54" s="498">
        <v>1916.1</v>
      </c>
      <c r="M54" s="515">
        <v>0.2</v>
      </c>
      <c r="N54" s="515">
        <v>0.08</v>
      </c>
      <c r="O54" s="500">
        <f t="shared" si="2"/>
        <v>383.22</v>
      </c>
      <c r="P54" s="500">
        <f t="shared" si="3"/>
        <v>153.28799999999998</v>
      </c>
      <c r="Q54" s="516">
        <v>7.0000000000000007E-2</v>
      </c>
      <c r="R54" s="516">
        <v>0.02</v>
      </c>
      <c r="S54" s="502">
        <f t="shared" si="4"/>
        <v>134.12700000000001</v>
      </c>
      <c r="T54" s="502">
        <f t="shared" si="5"/>
        <v>38.321999999999996</v>
      </c>
      <c r="U54" s="503"/>
      <c r="V54" s="503">
        <v>8</v>
      </c>
      <c r="W54" s="517">
        <v>5.0000000000000001E-3</v>
      </c>
      <c r="X54" s="505"/>
      <c r="Y54" s="506">
        <f t="shared" si="6"/>
        <v>9.5804999999999989</v>
      </c>
      <c r="Z54" s="506">
        <f t="shared" si="7"/>
        <v>0</v>
      </c>
      <c r="AA54" s="513">
        <v>0.02</v>
      </c>
      <c r="AB54" s="513">
        <v>0.01</v>
      </c>
      <c r="AC54" s="508">
        <f t="shared" si="8"/>
        <v>38.321999999999996</v>
      </c>
      <c r="AD54" s="508">
        <f t="shared" si="9"/>
        <v>19.160999999999998</v>
      </c>
      <c r="AE54" s="518">
        <v>8.0000000000000002E-3</v>
      </c>
      <c r="AF54" s="514"/>
      <c r="AG54" s="510">
        <f t="shared" si="10"/>
        <v>15.328799999999999</v>
      </c>
      <c r="AH54" s="510">
        <f t="shared" si="11"/>
        <v>0</v>
      </c>
      <c r="AI54" s="511">
        <f t="shared" si="1"/>
        <v>580.57830000000001</v>
      </c>
      <c r="AJ54" s="511">
        <f t="shared" si="1"/>
        <v>218.77099999999999</v>
      </c>
      <c r="AK54" s="518"/>
      <c r="AL54" s="514"/>
      <c r="AM54" s="510">
        <f t="shared" si="15"/>
        <v>0</v>
      </c>
      <c r="AN54" s="510">
        <f t="shared" si="16"/>
        <v>0</v>
      </c>
    </row>
    <row r="55" spans="1:40" ht="21.75" customHeight="1">
      <c r="A55" s="512" t="str">
        <f t="shared" si="0"/>
        <v>武汉市--城镇职工</v>
      </c>
      <c r="B55" s="512" t="s">
        <v>672</v>
      </c>
      <c r="C55" s="497" t="s">
        <v>564</v>
      </c>
      <c r="D55" s="497" t="s">
        <v>476</v>
      </c>
      <c r="E55" s="497" t="s">
        <v>482</v>
      </c>
      <c r="F55" s="521" t="s">
        <v>565</v>
      </c>
      <c r="G55" s="522">
        <v>1100</v>
      </c>
      <c r="H55" s="498">
        <v>2039.3</v>
      </c>
      <c r="I55" s="498">
        <v>1921.4</v>
      </c>
      <c r="J55" s="498">
        <v>1921.4</v>
      </c>
      <c r="K55" s="498">
        <v>1921.4</v>
      </c>
      <c r="L55" s="498">
        <v>1921.4</v>
      </c>
      <c r="M55" s="515">
        <v>0.2</v>
      </c>
      <c r="N55" s="515">
        <v>0.08</v>
      </c>
      <c r="O55" s="500">
        <f t="shared" si="2"/>
        <v>407.86</v>
      </c>
      <c r="P55" s="500">
        <f t="shared" si="3"/>
        <v>163.14400000000001</v>
      </c>
      <c r="Q55" s="516">
        <v>0.08</v>
      </c>
      <c r="R55" s="516">
        <v>0.02</v>
      </c>
      <c r="S55" s="502">
        <f t="shared" si="4"/>
        <v>153.71200000000002</v>
      </c>
      <c r="T55" s="502">
        <f t="shared" si="5"/>
        <v>38.428000000000004</v>
      </c>
      <c r="U55" s="503"/>
      <c r="V55" s="503">
        <v>7</v>
      </c>
      <c r="W55" s="517">
        <v>5.0000000000000001E-3</v>
      </c>
      <c r="X55" s="505"/>
      <c r="Y55" s="506">
        <f t="shared" si="6"/>
        <v>9.6070000000000011</v>
      </c>
      <c r="Z55" s="506">
        <f t="shared" si="7"/>
        <v>0</v>
      </c>
      <c r="AA55" s="513">
        <v>0.02</v>
      </c>
      <c r="AB55" s="513">
        <v>0.01</v>
      </c>
      <c r="AC55" s="508">
        <f t="shared" si="8"/>
        <v>38.428000000000004</v>
      </c>
      <c r="AD55" s="508">
        <f t="shared" si="9"/>
        <v>19.214000000000002</v>
      </c>
      <c r="AE55" s="518">
        <v>7.0000000000000001E-3</v>
      </c>
      <c r="AF55" s="514"/>
      <c r="AG55" s="510">
        <f t="shared" si="10"/>
        <v>13.449800000000002</v>
      </c>
      <c r="AH55" s="510">
        <f t="shared" si="11"/>
        <v>0</v>
      </c>
      <c r="AI55" s="511">
        <f t="shared" si="1"/>
        <v>623.05679999999995</v>
      </c>
      <c r="AJ55" s="511">
        <f t="shared" si="1"/>
        <v>227.786</v>
      </c>
      <c r="AK55" s="518"/>
      <c r="AL55" s="514"/>
      <c r="AM55" s="510">
        <f t="shared" si="15"/>
        <v>0</v>
      </c>
      <c r="AN55" s="510">
        <f t="shared" si="16"/>
        <v>0</v>
      </c>
    </row>
    <row r="56" spans="1:40" ht="21.75" customHeight="1">
      <c r="A56" s="512" t="str">
        <f t="shared" si="0"/>
        <v>哈尔滨市--城镇职工</v>
      </c>
      <c r="B56" s="512" t="s">
        <v>673</v>
      </c>
      <c r="C56" s="497" t="s">
        <v>566</v>
      </c>
      <c r="D56" s="497" t="s">
        <v>476</v>
      </c>
      <c r="E56" s="497" t="s">
        <v>472</v>
      </c>
      <c r="F56" s="521" t="s">
        <v>567</v>
      </c>
      <c r="G56" s="522">
        <v>1160</v>
      </c>
      <c r="H56" s="498">
        <f>2843.33*0.6</f>
        <v>1705.9979999999998</v>
      </c>
      <c r="I56" s="498">
        <v>3481.17</v>
      </c>
      <c r="J56" s="498">
        <f>3481.17*0.6</f>
        <v>2088.7019999999998</v>
      </c>
      <c r="K56" s="498">
        <f>3481.17*0.6</f>
        <v>2088.7019999999998</v>
      </c>
      <c r="L56" s="498">
        <f>3481.17*0.6</f>
        <v>2088.7019999999998</v>
      </c>
      <c r="M56" s="515">
        <v>0.22</v>
      </c>
      <c r="N56" s="515">
        <v>0.08</v>
      </c>
      <c r="O56" s="500">
        <f t="shared" si="2"/>
        <v>375.31955999999997</v>
      </c>
      <c r="P56" s="500">
        <f t="shared" si="3"/>
        <v>136.47984</v>
      </c>
      <c r="Q56" s="516">
        <v>7.4999999999999997E-2</v>
      </c>
      <c r="R56" s="516">
        <v>0.02</v>
      </c>
      <c r="S56" s="502">
        <f t="shared" si="4"/>
        <v>261.08774999999997</v>
      </c>
      <c r="T56" s="502">
        <f t="shared" si="5"/>
        <v>69.623400000000004</v>
      </c>
      <c r="U56" s="503">
        <v>2.5</v>
      </c>
      <c r="V56" s="503">
        <v>2.5</v>
      </c>
      <c r="W56" s="517">
        <v>5.0000000000000001E-3</v>
      </c>
      <c r="X56" s="505"/>
      <c r="Y56" s="506">
        <f t="shared" si="6"/>
        <v>10.44351</v>
      </c>
      <c r="Z56" s="506">
        <f t="shared" si="7"/>
        <v>0</v>
      </c>
      <c r="AA56" s="513">
        <v>0.02</v>
      </c>
      <c r="AB56" s="513">
        <v>0.01</v>
      </c>
      <c r="AC56" s="508">
        <f t="shared" si="8"/>
        <v>41.774039999999999</v>
      </c>
      <c r="AD56" s="508">
        <f t="shared" si="9"/>
        <v>20.88702</v>
      </c>
      <c r="AE56" s="518">
        <v>6.0000000000000001E-3</v>
      </c>
      <c r="AF56" s="514"/>
      <c r="AG56" s="510">
        <f t="shared" si="10"/>
        <v>12.532211999999999</v>
      </c>
      <c r="AH56" s="510">
        <f t="shared" si="11"/>
        <v>0</v>
      </c>
      <c r="AI56" s="511">
        <f t="shared" si="1"/>
        <v>703.65707199999986</v>
      </c>
      <c r="AJ56" s="511">
        <f t="shared" si="1"/>
        <v>229.49026000000001</v>
      </c>
      <c r="AK56" s="518"/>
      <c r="AL56" s="514"/>
      <c r="AM56" s="510">
        <f t="shared" si="15"/>
        <v>0</v>
      </c>
      <c r="AN56" s="510">
        <f t="shared" si="16"/>
        <v>0</v>
      </c>
    </row>
    <row r="57" spans="1:40" ht="21.75" customHeight="1">
      <c r="A57" s="512" t="str">
        <f t="shared" si="0"/>
        <v>太原市--城镇职工</v>
      </c>
      <c r="B57" s="512" t="s">
        <v>674</v>
      </c>
      <c r="C57" s="497" t="s">
        <v>568</v>
      </c>
      <c r="D57" s="497" t="s">
        <v>569</v>
      </c>
      <c r="E57" s="497" t="s">
        <v>570</v>
      </c>
      <c r="F57" s="521" t="s">
        <v>571</v>
      </c>
      <c r="G57" s="522">
        <v>1290</v>
      </c>
      <c r="H57" s="498">
        <f>3596*0.6</f>
        <v>2157.6</v>
      </c>
      <c r="I57" s="498">
        <f>2247*0.6</f>
        <v>1348.2</v>
      </c>
      <c r="J57" s="498">
        <f>44943/12*0.6</f>
        <v>2247.15</v>
      </c>
      <c r="K57" s="498">
        <f>44943/12*0.6</f>
        <v>2247.15</v>
      </c>
      <c r="L57" s="498">
        <f>44943/12*0.6</f>
        <v>2247.15</v>
      </c>
      <c r="M57" s="515">
        <v>0.2</v>
      </c>
      <c r="N57" s="515">
        <v>0.08</v>
      </c>
      <c r="O57" s="500">
        <f t="shared" si="2"/>
        <v>431.52</v>
      </c>
      <c r="P57" s="500">
        <f t="shared" si="3"/>
        <v>172.608</v>
      </c>
      <c r="Q57" s="516">
        <v>7.0000000000000007E-2</v>
      </c>
      <c r="R57" s="516">
        <v>0.02</v>
      </c>
      <c r="S57" s="502">
        <f t="shared" si="4"/>
        <v>94.374000000000009</v>
      </c>
      <c r="T57" s="502">
        <f t="shared" si="5"/>
        <v>26.964000000000002</v>
      </c>
      <c r="U57" s="503"/>
      <c r="V57" s="503"/>
      <c r="W57" s="517">
        <v>6.0000000000000001E-3</v>
      </c>
      <c r="X57" s="505"/>
      <c r="Y57" s="506">
        <f t="shared" si="6"/>
        <v>13.482900000000001</v>
      </c>
      <c r="Z57" s="506">
        <f t="shared" si="7"/>
        <v>0</v>
      </c>
      <c r="AA57" s="513">
        <v>0.02</v>
      </c>
      <c r="AB57" s="513">
        <v>0.01</v>
      </c>
      <c r="AC57" s="508">
        <f t="shared" si="8"/>
        <v>44.943000000000005</v>
      </c>
      <c r="AD57" s="508">
        <f t="shared" si="9"/>
        <v>22.471500000000002</v>
      </c>
      <c r="AE57" s="518">
        <v>8.0000000000000002E-3</v>
      </c>
      <c r="AF57" s="514"/>
      <c r="AG57" s="510">
        <f t="shared" si="10"/>
        <v>17.9772</v>
      </c>
      <c r="AH57" s="510">
        <f t="shared" si="11"/>
        <v>0</v>
      </c>
      <c r="AI57" s="511">
        <f t="shared" si="1"/>
        <v>602.2971</v>
      </c>
      <c r="AJ57" s="511">
        <f t="shared" si="1"/>
        <v>222.04349999999999</v>
      </c>
      <c r="AK57" s="518"/>
      <c r="AL57" s="514"/>
      <c r="AM57" s="510">
        <f t="shared" si="15"/>
        <v>0</v>
      </c>
      <c r="AN57" s="510">
        <f t="shared" si="16"/>
        <v>0</v>
      </c>
    </row>
    <row r="58" spans="1:40" ht="21.75" customHeight="1">
      <c r="A58" s="512" t="str">
        <f t="shared" si="0"/>
        <v>西安市--城镇职工</v>
      </c>
      <c r="B58" s="512" t="s">
        <v>675</v>
      </c>
      <c r="C58" s="497" t="s">
        <v>572</v>
      </c>
      <c r="D58" s="497" t="s">
        <v>569</v>
      </c>
      <c r="E58" s="497" t="s">
        <v>573</v>
      </c>
      <c r="F58" s="521" t="s">
        <v>574</v>
      </c>
      <c r="G58" s="522">
        <v>1280</v>
      </c>
      <c r="H58" s="498">
        <f>3694.1*0.6</f>
        <v>2216.46</v>
      </c>
      <c r="I58" s="498">
        <f>3820.5*0.6</f>
        <v>2292.2999999999997</v>
      </c>
      <c r="J58" s="498">
        <f>3820.5*0.6</f>
        <v>2292.2999999999997</v>
      </c>
      <c r="K58" s="498">
        <f>3820.5*0.6</f>
        <v>2292.2999999999997</v>
      </c>
      <c r="L58" s="498">
        <f>3820.5*0.6</f>
        <v>2292.2999999999997</v>
      </c>
      <c r="M58" s="515">
        <v>0.2</v>
      </c>
      <c r="N58" s="515">
        <v>0.08</v>
      </c>
      <c r="O58" s="500">
        <f t="shared" si="2"/>
        <v>443.29200000000003</v>
      </c>
      <c r="P58" s="500">
        <f t="shared" si="3"/>
        <v>177.3168</v>
      </c>
      <c r="Q58" s="516">
        <v>7.0000000000000007E-2</v>
      </c>
      <c r="R58" s="516">
        <v>0.02</v>
      </c>
      <c r="S58" s="502">
        <f t="shared" si="4"/>
        <v>160.46099999999998</v>
      </c>
      <c r="T58" s="502">
        <f t="shared" si="5"/>
        <v>45.845999999999997</v>
      </c>
      <c r="U58" s="503">
        <v>6.4</v>
      </c>
      <c r="V58" s="503">
        <v>1.6</v>
      </c>
      <c r="W58" s="517">
        <v>5.0000000000000001E-3</v>
      </c>
      <c r="X58" s="505"/>
      <c r="Y58" s="506">
        <f t="shared" si="6"/>
        <v>11.461499999999999</v>
      </c>
      <c r="Z58" s="506">
        <f t="shared" si="7"/>
        <v>0</v>
      </c>
      <c r="AA58" s="513">
        <v>0.02</v>
      </c>
      <c r="AB58" s="513">
        <v>0.01</v>
      </c>
      <c r="AC58" s="508">
        <f t="shared" si="8"/>
        <v>45.845999999999997</v>
      </c>
      <c r="AD58" s="508">
        <f t="shared" si="9"/>
        <v>22.922999999999998</v>
      </c>
      <c r="AE58" s="518">
        <v>5.0000000000000001E-3</v>
      </c>
      <c r="AF58" s="514"/>
      <c r="AG58" s="510">
        <f t="shared" si="10"/>
        <v>11.461499999999999</v>
      </c>
      <c r="AH58" s="510">
        <f t="shared" si="11"/>
        <v>0</v>
      </c>
      <c r="AI58" s="511">
        <f t="shared" si="1"/>
        <v>678.92200000000003</v>
      </c>
      <c r="AJ58" s="511">
        <f t="shared" si="1"/>
        <v>247.6858</v>
      </c>
      <c r="AK58" s="518"/>
      <c r="AL58" s="514"/>
      <c r="AM58" s="510">
        <f t="shared" si="15"/>
        <v>0</v>
      </c>
      <c r="AN58" s="510">
        <f t="shared" si="16"/>
        <v>0</v>
      </c>
    </row>
    <row r="59" spans="1:40" ht="21.75" customHeight="1">
      <c r="A59" s="512" t="str">
        <f t="shared" ref="A59:A87" si="17">B59&amp;"--"&amp;D59</f>
        <v>昆明市--城镇职工</v>
      </c>
      <c r="B59" s="512" t="s">
        <v>676</v>
      </c>
      <c r="C59" s="497" t="s">
        <v>575</v>
      </c>
      <c r="D59" s="497" t="s">
        <v>569</v>
      </c>
      <c r="E59" s="497" t="s">
        <v>576</v>
      </c>
      <c r="F59" s="521" t="s">
        <v>577</v>
      </c>
      <c r="G59" s="522">
        <v>1265</v>
      </c>
      <c r="H59" s="498">
        <f>3242*0.6</f>
        <v>1945.1999999999998</v>
      </c>
      <c r="I59" s="498">
        <f>3758*0.6</f>
        <v>2254.7999999999997</v>
      </c>
      <c r="J59" s="498">
        <f>3242*0.6</f>
        <v>1945.1999999999998</v>
      </c>
      <c r="K59" s="498">
        <f>3242*0.6</f>
        <v>1945.1999999999998</v>
      </c>
      <c r="L59" s="498">
        <f>3242*0.6</f>
        <v>1945.1999999999998</v>
      </c>
      <c r="M59" s="515">
        <v>0.2</v>
      </c>
      <c r="N59" s="515">
        <v>0.08</v>
      </c>
      <c r="O59" s="500">
        <f t="shared" si="2"/>
        <v>389.03999999999996</v>
      </c>
      <c r="P59" s="500">
        <f t="shared" si="3"/>
        <v>155.61599999999999</v>
      </c>
      <c r="Q59" s="516">
        <v>0.1</v>
      </c>
      <c r="R59" s="516">
        <v>0.02</v>
      </c>
      <c r="S59" s="502">
        <f t="shared" si="4"/>
        <v>225.48</v>
      </c>
      <c r="T59" s="502">
        <f t="shared" si="5"/>
        <v>45.095999999999997</v>
      </c>
      <c r="U59" s="503">
        <f>3242*0.6%</f>
        <v>19.452000000000002</v>
      </c>
      <c r="V59" s="503">
        <v>1</v>
      </c>
      <c r="W59" s="517">
        <v>5.0000000000000001E-3</v>
      </c>
      <c r="X59" s="505"/>
      <c r="Y59" s="506">
        <f t="shared" si="6"/>
        <v>9.7259999999999991</v>
      </c>
      <c r="Z59" s="506">
        <f t="shared" si="7"/>
        <v>0</v>
      </c>
      <c r="AA59" s="513">
        <v>0.02</v>
      </c>
      <c r="AB59" s="513">
        <v>0.01</v>
      </c>
      <c r="AC59" s="508">
        <f t="shared" si="8"/>
        <v>38.903999999999996</v>
      </c>
      <c r="AD59" s="508">
        <f t="shared" si="9"/>
        <v>19.451999999999998</v>
      </c>
      <c r="AE59" s="518">
        <v>8.9999999999999993E-3</v>
      </c>
      <c r="AF59" s="514"/>
      <c r="AG59" s="510">
        <f t="shared" si="10"/>
        <v>17.506799999999998</v>
      </c>
      <c r="AH59" s="510">
        <f t="shared" si="11"/>
        <v>0</v>
      </c>
      <c r="AI59" s="511">
        <f t="shared" si="1"/>
        <v>700.10879999999997</v>
      </c>
      <c r="AJ59" s="511">
        <f t="shared" si="1"/>
        <v>221.16399999999999</v>
      </c>
      <c r="AK59" s="518"/>
      <c r="AL59" s="514"/>
      <c r="AM59" s="510">
        <f t="shared" si="15"/>
        <v>0</v>
      </c>
      <c r="AN59" s="510">
        <f t="shared" si="16"/>
        <v>0</v>
      </c>
    </row>
    <row r="60" spans="1:40" ht="21.75" customHeight="1">
      <c r="A60" s="512" t="str">
        <f t="shared" si="17"/>
        <v>九江市--城镇职工</v>
      </c>
      <c r="B60" s="512" t="s">
        <v>677</v>
      </c>
      <c r="C60" s="497" t="s">
        <v>578</v>
      </c>
      <c r="D60" s="497" t="s">
        <v>476</v>
      </c>
      <c r="E60" s="497" t="s">
        <v>477</v>
      </c>
      <c r="F60" s="521" t="s">
        <v>579</v>
      </c>
      <c r="G60" s="522">
        <v>1150</v>
      </c>
      <c r="H60" s="498">
        <v>2080</v>
      </c>
      <c r="I60" s="498">
        <v>2080</v>
      </c>
      <c r="J60" s="498">
        <v>2946</v>
      </c>
      <c r="K60" s="498">
        <v>2080</v>
      </c>
      <c r="L60" s="498">
        <v>2080</v>
      </c>
      <c r="M60" s="515">
        <v>0.2</v>
      </c>
      <c r="N60" s="515">
        <v>0.08</v>
      </c>
      <c r="O60" s="500">
        <f t="shared" si="2"/>
        <v>416</v>
      </c>
      <c r="P60" s="500">
        <f t="shared" si="3"/>
        <v>166.4</v>
      </c>
      <c r="Q60" s="516">
        <v>0.08</v>
      </c>
      <c r="R60" s="516">
        <v>0.02</v>
      </c>
      <c r="S60" s="502">
        <f t="shared" si="4"/>
        <v>166.4</v>
      </c>
      <c r="T60" s="502">
        <f t="shared" si="5"/>
        <v>41.6</v>
      </c>
      <c r="U60" s="503">
        <f>2808*0.5%*0.5</f>
        <v>7.0200000000000005</v>
      </c>
      <c r="V60" s="503">
        <f>2808*0.5%*0.5</f>
        <v>7.0200000000000005</v>
      </c>
      <c r="W60" s="517">
        <v>5.0000000000000001E-3</v>
      </c>
      <c r="X60" s="505"/>
      <c r="Y60" s="506">
        <f t="shared" si="6"/>
        <v>14.73</v>
      </c>
      <c r="Z60" s="506">
        <f t="shared" si="7"/>
        <v>0</v>
      </c>
      <c r="AA60" s="513">
        <v>0.02</v>
      </c>
      <c r="AB60" s="513">
        <v>0.01</v>
      </c>
      <c r="AC60" s="508">
        <f t="shared" si="8"/>
        <v>41.6</v>
      </c>
      <c r="AD60" s="508">
        <f t="shared" si="9"/>
        <v>20.8</v>
      </c>
      <c r="AE60" s="518">
        <v>0.01</v>
      </c>
      <c r="AF60" s="514"/>
      <c r="AG60" s="528">
        <f>L60*AE60</f>
        <v>20.8</v>
      </c>
      <c r="AH60" s="510">
        <f t="shared" si="11"/>
        <v>0</v>
      </c>
      <c r="AI60" s="511">
        <f t="shared" si="1"/>
        <v>666.55</v>
      </c>
      <c r="AJ60" s="511">
        <f t="shared" si="1"/>
        <v>235.82000000000002</v>
      </c>
      <c r="AK60" s="518"/>
      <c r="AL60" s="514"/>
      <c r="AM60" s="528">
        <f>R60*AK60</f>
        <v>0</v>
      </c>
      <c r="AN60" s="510">
        <f t="shared" si="16"/>
        <v>0</v>
      </c>
    </row>
    <row r="61" spans="1:40" ht="21.75" customHeight="1">
      <c r="A61" s="512" t="str">
        <f t="shared" si="17"/>
        <v>南昌市--城镇职工</v>
      </c>
      <c r="B61" s="512" t="s">
        <v>678</v>
      </c>
      <c r="C61" s="497" t="s">
        <v>580</v>
      </c>
      <c r="D61" s="497" t="s">
        <v>476</v>
      </c>
      <c r="E61" s="497" t="s">
        <v>482</v>
      </c>
      <c r="F61" s="521" t="s">
        <v>581</v>
      </c>
      <c r="G61" s="522">
        <v>1230</v>
      </c>
      <c r="H61" s="498">
        <f>3535*0.6</f>
        <v>2121</v>
      </c>
      <c r="I61" s="498">
        <f>3535*0.6</f>
        <v>2121</v>
      </c>
      <c r="J61" s="498">
        <f>3535*0.6</f>
        <v>2121</v>
      </c>
      <c r="K61" s="498">
        <f>3535*0.6</f>
        <v>2121</v>
      </c>
      <c r="L61" s="498">
        <f>3535*0.6</f>
        <v>2121</v>
      </c>
      <c r="M61" s="515">
        <v>0.2</v>
      </c>
      <c r="N61" s="515">
        <v>0.08</v>
      </c>
      <c r="O61" s="500">
        <f t="shared" si="2"/>
        <v>424.20000000000005</v>
      </c>
      <c r="P61" s="500">
        <f t="shared" si="3"/>
        <v>169.68</v>
      </c>
      <c r="Q61" s="516">
        <v>0.06</v>
      </c>
      <c r="R61" s="516">
        <v>0.02</v>
      </c>
      <c r="S61" s="502">
        <f t="shared" si="4"/>
        <v>127.25999999999999</v>
      </c>
      <c r="T61" s="502">
        <f t="shared" si="5"/>
        <v>42.42</v>
      </c>
      <c r="U61" s="503"/>
      <c r="V61" s="503">
        <f>96/12</f>
        <v>8</v>
      </c>
      <c r="W61" s="517">
        <v>4.0000000000000001E-3</v>
      </c>
      <c r="X61" s="505"/>
      <c r="Y61" s="506">
        <f t="shared" si="6"/>
        <v>8.484</v>
      </c>
      <c r="Z61" s="506">
        <f t="shared" si="7"/>
        <v>0</v>
      </c>
      <c r="AA61" s="513">
        <v>0.01</v>
      </c>
      <c r="AB61" s="513">
        <v>0.01</v>
      </c>
      <c r="AC61" s="508">
        <f t="shared" si="8"/>
        <v>21.21</v>
      </c>
      <c r="AD61" s="508">
        <f t="shared" si="9"/>
        <v>21.21</v>
      </c>
      <c r="AE61" s="518">
        <v>8.0000000000000002E-3</v>
      </c>
      <c r="AF61" s="514"/>
      <c r="AG61" s="510">
        <f t="shared" si="10"/>
        <v>16.968</v>
      </c>
      <c r="AH61" s="510">
        <f t="shared" si="11"/>
        <v>0</v>
      </c>
      <c r="AI61" s="511">
        <f t="shared" si="1"/>
        <v>598.12200000000007</v>
      </c>
      <c r="AJ61" s="511">
        <f t="shared" si="1"/>
        <v>241.31000000000003</v>
      </c>
      <c r="AK61" s="518"/>
      <c r="AL61" s="514"/>
      <c r="AM61" s="510">
        <f t="shared" ref="AM61" si="18">R61*AK61</f>
        <v>0</v>
      </c>
      <c r="AN61" s="510">
        <f t="shared" si="16"/>
        <v>0</v>
      </c>
    </row>
    <row r="62" spans="1:40" ht="21.75" customHeight="1">
      <c r="A62" s="512" t="str">
        <f t="shared" si="17"/>
        <v>吉安市--城镇职工</v>
      </c>
      <c r="B62" s="512" t="s">
        <v>679</v>
      </c>
      <c r="C62" s="497" t="s">
        <v>582</v>
      </c>
      <c r="D62" s="497" t="s">
        <v>506</v>
      </c>
      <c r="E62" s="497" t="s">
        <v>583</v>
      </c>
      <c r="F62" s="521" t="s">
        <v>584</v>
      </c>
      <c r="G62" s="522">
        <v>1150</v>
      </c>
      <c r="H62" s="498">
        <v>1826</v>
      </c>
      <c r="I62" s="498">
        <v>3044</v>
      </c>
      <c r="J62" s="498">
        <v>3044</v>
      </c>
      <c r="K62" s="498">
        <v>1940</v>
      </c>
      <c r="L62" s="498">
        <v>3044</v>
      </c>
      <c r="M62" s="515">
        <v>0.2</v>
      </c>
      <c r="N62" s="515">
        <v>0.08</v>
      </c>
      <c r="O62" s="500">
        <f>M62*H62</f>
        <v>365.20000000000005</v>
      </c>
      <c r="P62" s="500">
        <f>N62*H62</f>
        <v>146.08000000000001</v>
      </c>
      <c r="Q62" s="516">
        <v>0.06</v>
      </c>
      <c r="R62" s="516">
        <v>0.02</v>
      </c>
      <c r="S62" s="502">
        <f>Q62*I62</f>
        <v>182.64</v>
      </c>
      <c r="T62" s="502">
        <f>R62*I62</f>
        <v>60.88</v>
      </c>
      <c r="U62" s="503"/>
      <c r="V62" s="503"/>
      <c r="W62" s="517">
        <v>5.0000000000000001E-3</v>
      </c>
      <c r="X62" s="505"/>
      <c r="Y62" s="506">
        <f>W62*J62</f>
        <v>15.22</v>
      </c>
      <c r="Z62" s="506"/>
      <c r="AA62" s="513"/>
      <c r="AB62" s="513"/>
      <c r="AC62" s="508"/>
      <c r="AD62" s="508"/>
      <c r="AE62" s="518">
        <v>6.0000000000000001E-3</v>
      </c>
      <c r="AF62" s="514"/>
      <c r="AG62" s="510">
        <f>AE62*L62</f>
        <v>18.263999999999999</v>
      </c>
      <c r="AH62" s="510"/>
      <c r="AI62" s="511"/>
      <c r="AJ62" s="511"/>
      <c r="AK62" s="518"/>
      <c r="AL62" s="514"/>
      <c r="AM62" s="510">
        <f>AK62*R62</f>
        <v>0</v>
      </c>
      <c r="AN62" s="510"/>
    </row>
    <row r="63" spans="1:40" ht="21.75" customHeight="1">
      <c r="A63" s="512" t="str">
        <f t="shared" si="17"/>
        <v>济南市--城镇职工</v>
      </c>
      <c r="B63" s="512" t="s">
        <v>680</v>
      </c>
      <c r="C63" s="497" t="s">
        <v>585</v>
      </c>
      <c r="D63" s="497" t="s">
        <v>476</v>
      </c>
      <c r="E63" s="497" t="s">
        <v>472</v>
      </c>
      <c r="F63" s="521" t="s">
        <v>586</v>
      </c>
      <c r="G63" s="522">
        <v>1500</v>
      </c>
      <c r="H63" s="498">
        <v>2010</v>
      </c>
      <c r="I63" s="498">
        <v>2010</v>
      </c>
      <c r="J63" s="498">
        <v>2010</v>
      </c>
      <c r="K63" s="498">
        <v>2010</v>
      </c>
      <c r="L63" s="498">
        <v>2010</v>
      </c>
      <c r="M63" s="515">
        <v>0.19</v>
      </c>
      <c r="N63" s="515">
        <v>0.08</v>
      </c>
      <c r="O63" s="500">
        <f t="shared" ref="O63:O83" si="19">H63*M63</f>
        <v>381.9</v>
      </c>
      <c r="P63" s="500">
        <f t="shared" ref="P63:P83" si="20">H63*N63</f>
        <v>160.80000000000001</v>
      </c>
      <c r="Q63" s="516">
        <v>0.08</v>
      </c>
      <c r="R63" s="516">
        <v>0.02</v>
      </c>
      <c r="S63" s="502">
        <f t="shared" ref="S63:S83" si="21">I63*Q63</f>
        <v>160.80000000000001</v>
      </c>
      <c r="T63" s="502">
        <f t="shared" ref="T63:T83" si="22">I63*R63</f>
        <v>40.200000000000003</v>
      </c>
      <c r="U63" s="503"/>
      <c r="V63" s="503">
        <v>4</v>
      </c>
      <c r="W63" s="517">
        <v>5.0000000000000001E-3</v>
      </c>
      <c r="X63" s="505"/>
      <c r="Y63" s="506">
        <f t="shared" ref="Y63:Y83" si="23">J63*W63</f>
        <v>10.050000000000001</v>
      </c>
      <c r="Z63" s="506">
        <f t="shared" ref="Z63:Z83" si="24">J63*X63</f>
        <v>0</v>
      </c>
      <c r="AA63" s="513">
        <v>0.01</v>
      </c>
      <c r="AB63" s="513">
        <v>5.0000000000000001E-3</v>
      </c>
      <c r="AC63" s="508">
        <f t="shared" ref="AC63:AC83" si="25">K63*AA63</f>
        <v>20.100000000000001</v>
      </c>
      <c r="AD63" s="508">
        <f t="shared" ref="AD63:AD83" si="26">K63*AB63</f>
        <v>10.050000000000001</v>
      </c>
      <c r="AE63" s="518">
        <v>0.01</v>
      </c>
      <c r="AF63" s="514"/>
      <c r="AG63" s="510">
        <f t="shared" si="10"/>
        <v>20.100000000000001</v>
      </c>
      <c r="AH63" s="510">
        <f t="shared" si="11"/>
        <v>0</v>
      </c>
      <c r="AI63" s="511">
        <f t="shared" ref="AI63:AJ83" si="27">O63+S63+U63+Y63+AC63+AG63</f>
        <v>592.95000000000005</v>
      </c>
      <c r="AJ63" s="511">
        <f t="shared" si="27"/>
        <v>215.05</v>
      </c>
      <c r="AK63" s="518"/>
      <c r="AL63" s="514"/>
      <c r="AM63" s="510">
        <f t="shared" ref="AM63:AM83" si="28">R63*AK63</f>
        <v>0</v>
      </c>
      <c r="AN63" s="510">
        <f t="shared" ref="AN63:AN65" si="29">R63*AL63</f>
        <v>0</v>
      </c>
    </row>
    <row r="64" spans="1:40" ht="21.75" customHeight="1">
      <c r="A64" s="512" t="str">
        <f t="shared" si="17"/>
        <v>烟台市--城镇职工</v>
      </c>
      <c r="B64" s="512" t="s">
        <v>681</v>
      </c>
      <c r="C64" s="497" t="s">
        <v>587</v>
      </c>
      <c r="D64" s="497" t="s">
        <v>476</v>
      </c>
      <c r="E64" s="497"/>
      <c r="F64" s="521" t="s">
        <v>588</v>
      </c>
      <c r="G64" s="522">
        <v>1500</v>
      </c>
      <c r="H64" s="498">
        <v>2129</v>
      </c>
      <c r="I64" s="498">
        <v>2129</v>
      </c>
      <c r="J64" s="498">
        <v>2129</v>
      </c>
      <c r="K64" s="498">
        <v>2129</v>
      </c>
      <c r="L64" s="498">
        <v>2129</v>
      </c>
      <c r="M64" s="515">
        <v>0.18</v>
      </c>
      <c r="N64" s="515">
        <v>0.08</v>
      </c>
      <c r="O64" s="500">
        <f t="shared" si="19"/>
        <v>383.21999999999997</v>
      </c>
      <c r="P64" s="500">
        <f t="shared" si="20"/>
        <v>170.32</v>
      </c>
      <c r="Q64" s="516">
        <v>7.0000000000000007E-2</v>
      </c>
      <c r="R64" s="516">
        <v>0.02</v>
      </c>
      <c r="S64" s="502">
        <f t="shared" si="21"/>
        <v>149.03</v>
      </c>
      <c r="T64" s="502">
        <f t="shared" si="22"/>
        <v>42.58</v>
      </c>
      <c r="U64" s="503"/>
      <c r="V64" s="503"/>
      <c r="W64" s="517">
        <v>1.0999999999999999E-2</v>
      </c>
      <c r="X64" s="505"/>
      <c r="Y64" s="506">
        <f t="shared" si="23"/>
        <v>23.418999999999997</v>
      </c>
      <c r="Z64" s="506">
        <f t="shared" si="24"/>
        <v>0</v>
      </c>
      <c r="AA64" s="513">
        <v>0.01</v>
      </c>
      <c r="AB64" s="513">
        <v>5.0000000000000001E-3</v>
      </c>
      <c r="AC64" s="508">
        <f t="shared" si="25"/>
        <v>21.29</v>
      </c>
      <c r="AD64" s="508">
        <f t="shared" si="26"/>
        <v>10.645</v>
      </c>
      <c r="AE64" s="518">
        <v>0.01</v>
      </c>
      <c r="AF64" s="514"/>
      <c r="AG64" s="510">
        <f t="shared" si="10"/>
        <v>21.29</v>
      </c>
      <c r="AH64" s="510">
        <f t="shared" si="11"/>
        <v>0</v>
      </c>
      <c r="AI64" s="511">
        <f t="shared" si="27"/>
        <v>598.24899999999991</v>
      </c>
      <c r="AJ64" s="511">
        <f t="shared" si="27"/>
        <v>223.54499999999999</v>
      </c>
      <c r="AK64" s="518"/>
      <c r="AL64" s="514"/>
      <c r="AM64" s="510">
        <f t="shared" si="28"/>
        <v>0</v>
      </c>
      <c r="AN64" s="510">
        <f t="shared" si="29"/>
        <v>0</v>
      </c>
    </row>
    <row r="65" spans="1:40" ht="21.75" customHeight="1">
      <c r="A65" s="512" t="str">
        <f t="shared" si="17"/>
        <v>青岛市--城镇职工</v>
      </c>
      <c r="B65" s="512" t="s">
        <v>682</v>
      </c>
      <c r="C65" s="772" t="s">
        <v>589</v>
      </c>
      <c r="D65" s="497" t="s">
        <v>476</v>
      </c>
      <c r="E65" s="772" t="s">
        <v>472</v>
      </c>
      <c r="F65" s="773" t="s">
        <v>590</v>
      </c>
      <c r="G65" s="774">
        <v>1500</v>
      </c>
      <c r="H65" s="498">
        <v>1870</v>
      </c>
      <c r="I65" s="498">
        <v>1870</v>
      </c>
      <c r="J65" s="498">
        <v>1870</v>
      </c>
      <c r="K65" s="498">
        <v>1870</v>
      </c>
      <c r="L65" s="498">
        <v>1870</v>
      </c>
      <c r="M65" s="515">
        <v>0.18</v>
      </c>
      <c r="N65" s="515">
        <v>0.08</v>
      </c>
      <c r="O65" s="500">
        <f t="shared" si="19"/>
        <v>336.59999999999997</v>
      </c>
      <c r="P65" s="500">
        <f t="shared" si="20"/>
        <v>149.6</v>
      </c>
      <c r="Q65" s="516">
        <v>0.09</v>
      </c>
      <c r="R65" s="516">
        <v>0.02</v>
      </c>
      <c r="S65" s="502">
        <f t="shared" si="21"/>
        <v>168.29999999999998</v>
      </c>
      <c r="T65" s="502">
        <f t="shared" si="22"/>
        <v>37.4</v>
      </c>
      <c r="U65" s="529"/>
      <c r="V65" s="503"/>
      <c r="W65" s="530">
        <v>7.0000000000000001E-3</v>
      </c>
      <c r="X65" s="505"/>
      <c r="Y65" s="506">
        <f t="shared" si="23"/>
        <v>13.09</v>
      </c>
      <c r="Z65" s="506">
        <f t="shared" si="24"/>
        <v>0</v>
      </c>
      <c r="AA65" s="513">
        <v>0.01</v>
      </c>
      <c r="AB65" s="513">
        <v>5.0000000000000001E-3</v>
      </c>
      <c r="AC65" s="508">
        <f t="shared" si="25"/>
        <v>18.7</v>
      </c>
      <c r="AD65" s="508">
        <f t="shared" si="26"/>
        <v>9.35</v>
      </c>
      <c r="AE65" s="518">
        <v>0.01</v>
      </c>
      <c r="AF65" s="514"/>
      <c r="AG65" s="510">
        <f t="shared" si="10"/>
        <v>18.7</v>
      </c>
      <c r="AH65" s="510">
        <f t="shared" si="11"/>
        <v>0</v>
      </c>
      <c r="AI65" s="511">
        <f t="shared" si="27"/>
        <v>555.3900000000001</v>
      </c>
      <c r="AJ65" s="511">
        <f t="shared" si="27"/>
        <v>196.35</v>
      </c>
      <c r="AK65" s="518"/>
      <c r="AL65" s="514"/>
      <c r="AM65" s="510">
        <f t="shared" si="28"/>
        <v>0</v>
      </c>
      <c r="AN65" s="510">
        <f t="shared" si="29"/>
        <v>0</v>
      </c>
    </row>
    <row r="66" spans="1:40" ht="21.75" customHeight="1">
      <c r="A66" s="512" t="str">
        <f t="shared" si="17"/>
        <v>青岛市--农村职工</v>
      </c>
      <c r="B66" s="512" t="s">
        <v>682</v>
      </c>
      <c r="C66" s="772"/>
      <c r="D66" s="497" t="s">
        <v>479</v>
      </c>
      <c r="E66" s="772"/>
      <c r="F66" s="773"/>
      <c r="G66" s="774"/>
      <c r="H66" s="498">
        <v>1870</v>
      </c>
      <c r="I66" s="498">
        <v>1870</v>
      </c>
      <c r="J66" s="498">
        <v>1870</v>
      </c>
      <c r="K66" s="498">
        <v>1870</v>
      </c>
      <c r="L66" s="498">
        <v>1870</v>
      </c>
      <c r="M66" s="515">
        <v>0.18</v>
      </c>
      <c r="N66" s="515">
        <v>0.08</v>
      </c>
      <c r="O66" s="500">
        <f t="shared" si="19"/>
        <v>336.59999999999997</v>
      </c>
      <c r="P66" s="500">
        <f t="shared" si="20"/>
        <v>149.6</v>
      </c>
      <c r="Q66" s="516">
        <v>0.09</v>
      </c>
      <c r="R66" s="516">
        <v>0.02</v>
      </c>
      <c r="S66" s="502">
        <f t="shared" si="21"/>
        <v>168.29999999999998</v>
      </c>
      <c r="T66" s="502">
        <f t="shared" si="22"/>
        <v>37.4</v>
      </c>
      <c r="U66" s="529"/>
      <c r="V66" s="503"/>
      <c r="W66" s="530">
        <v>7.0000000000000001E-3</v>
      </c>
      <c r="X66" s="505"/>
      <c r="Y66" s="506">
        <f t="shared" si="23"/>
        <v>13.09</v>
      </c>
      <c r="Z66" s="506"/>
      <c r="AA66" s="513">
        <v>0.01</v>
      </c>
      <c r="AB66" s="513"/>
      <c r="AC66" s="508">
        <f t="shared" si="25"/>
        <v>18.7</v>
      </c>
      <c r="AD66" s="508">
        <f t="shared" si="26"/>
        <v>0</v>
      </c>
      <c r="AE66" s="518">
        <v>0.01</v>
      </c>
      <c r="AF66" s="514"/>
      <c r="AG66" s="510">
        <f t="shared" si="10"/>
        <v>18.7</v>
      </c>
      <c r="AH66" s="510"/>
      <c r="AI66" s="511">
        <f t="shared" si="27"/>
        <v>555.3900000000001</v>
      </c>
      <c r="AJ66" s="511">
        <f t="shared" si="27"/>
        <v>187</v>
      </c>
      <c r="AK66" s="518"/>
      <c r="AL66" s="514"/>
      <c r="AM66" s="510">
        <f t="shared" si="28"/>
        <v>0</v>
      </c>
      <c r="AN66" s="510"/>
    </row>
    <row r="67" spans="1:40" ht="21.75" customHeight="1">
      <c r="A67" s="512" t="str">
        <f t="shared" si="17"/>
        <v>淄博市--城镇职工</v>
      </c>
      <c r="B67" s="512" t="s">
        <v>683</v>
      </c>
      <c r="C67" s="497" t="s">
        <v>591</v>
      </c>
      <c r="D67" s="497" t="s">
        <v>506</v>
      </c>
      <c r="E67" s="497" t="s">
        <v>542</v>
      </c>
      <c r="F67" s="521" t="s">
        <v>592</v>
      </c>
      <c r="G67" s="522">
        <v>1500</v>
      </c>
      <c r="H67" s="498">
        <v>2129</v>
      </c>
      <c r="I67" s="498">
        <v>2129</v>
      </c>
      <c r="J67" s="498">
        <v>2129</v>
      </c>
      <c r="K67" s="498">
        <v>2129</v>
      </c>
      <c r="L67" s="498">
        <v>2129</v>
      </c>
      <c r="M67" s="515">
        <v>0.19</v>
      </c>
      <c r="N67" s="515">
        <v>0.08</v>
      </c>
      <c r="O67" s="500">
        <f t="shared" si="19"/>
        <v>404.51</v>
      </c>
      <c r="P67" s="500">
        <f t="shared" si="20"/>
        <v>170.32</v>
      </c>
      <c r="Q67" s="516">
        <v>7.0000000000000007E-2</v>
      </c>
      <c r="R67" s="516">
        <v>0.02</v>
      </c>
      <c r="S67" s="502">
        <f t="shared" si="21"/>
        <v>149.03</v>
      </c>
      <c r="T67" s="502">
        <f t="shared" si="22"/>
        <v>42.58</v>
      </c>
      <c r="U67" s="529"/>
      <c r="V67" s="503"/>
      <c r="W67" s="530">
        <v>5.0000000000000001E-3</v>
      </c>
      <c r="X67" s="505"/>
      <c r="Y67" s="506">
        <f t="shared" si="23"/>
        <v>10.645</v>
      </c>
      <c r="Z67" s="506"/>
      <c r="AA67" s="513">
        <v>0.01</v>
      </c>
      <c r="AB67" s="513">
        <v>5.0000000000000001E-3</v>
      </c>
      <c r="AC67" s="508">
        <f t="shared" si="25"/>
        <v>21.29</v>
      </c>
      <c r="AD67" s="508">
        <f>AB67*K67</f>
        <v>10.645</v>
      </c>
      <c r="AE67" s="518">
        <v>7.0000000000000001E-3</v>
      </c>
      <c r="AF67" s="514"/>
      <c r="AG67" s="510">
        <f t="shared" si="10"/>
        <v>14.903</v>
      </c>
      <c r="AH67" s="510"/>
      <c r="AI67" s="511">
        <f t="shared" si="27"/>
        <v>600.37799999999993</v>
      </c>
      <c r="AJ67" s="511">
        <f t="shared" si="27"/>
        <v>223.54499999999999</v>
      </c>
      <c r="AK67" s="518"/>
      <c r="AL67" s="514"/>
      <c r="AM67" s="510">
        <f t="shared" si="28"/>
        <v>0</v>
      </c>
      <c r="AN67" s="510"/>
    </row>
    <row r="68" spans="1:40" ht="21.75" customHeight="1">
      <c r="A68" s="512" t="str">
        <f t="shared" si="17"/>
        <v>日照市--城镇职工</v>
      </c>
      <c r="B68" s="512" t="s">
        <v>684</v>
      </c>
      <c r="C68" s="497" t="s">
        <v>593</v>
      </c>
      <c r="D68" s="497" t="s">
        <v>506</v>
      </c>
      <c r="E68" s="497"/>
      <c r="F68" s="521" t="s">
        <v>594</v>
      </c>
      <c r="G68" s="522">
        <v>1220</v>
      </c>
      <c r="H68" s="498">
        <v>2129</v>
      </c>
      <c r="I68" s="498">
        <v>2129</v>
      </c>
      <c r="J68" s="498">
        <v>2129</v>
      </c>
      <c r="K68" s="498">
        <v>2129</v>
      </c>
      <c r="L68" s="498">
        <v>2129</v>
      </c>
      <c r="M68" s="515">
        <v>0.2</v>
      </c>
      <c r="N68" s="515">
        <v>0.08</v>
      </c>
      <c r="O68" s="500">
        <f t="shared" si="19"/>
        <v>425.8</v>
      </c>
      <c r="P68" s="500">
        <f t="shared" si="20"/>
        <v>170.32</v>
      </c>
      <c r="Q68" s="516">
        <v>0.08</v>
      </c>
      <c r="R68" s="516">
        <v>0.02</v>
      </c>
      <c r="S68" s="502">
        <f t="shared" si="21"/>
        <v>170.32</v>
      </c>
      <c r="T68" s="502">
        <f t="shared" si="22"/>
        <v>42.58</v>
      </c>
      <c r="U68" s="529"/>
      <c r="V68" s="503"/>
      <c r="W68" s="530">
        <v>5.0000000000000001E-3</v>
      </c>
      <c r="X68" s="505"/>
      <c r="Y68" s="506">
        <f t="shared" si="23"/>
        <v>10.645</v>
      </c>
      <c r="Z68" s="506"/>
      <c r="AA68" s="513">
        <v>0.02</v>
      </c>
      <c r="AB68" s="513">
        <v>0.01</v>
      </c>
      <c r="AC68" s="508">
        <f t="shared" si="25"/>
        <v>42.58</v>
      </c>
      <c r="AD68" s="508">
        <f>AB68*K68</f>
        <v>21.29</v>
      </c>
      <c r="AE68" s="518">
        <v>8.0000000000000002E-3</v>
      </c>
      <c r="AF68" s="514"/>
      <c r="AG68" s="510">
        <f t="shared" si="10"/>
        <v>17.032</v>
      </c>
      <c r="AH68" s="510"/>
      <c r="AI68" s="511">
        <f t="shared" si="27"/>
        <v>666.37700000000007</v>
      </c>
      <c r="AJ68" s="511">
        <f t="shared" si="27"/>
        <v>234.18999999999997</v>
      </c>
      <c r="AK68" s="518"/>
      <c r="AL68" s="514"/>
      <c r="AM68" s="510">
        <f t="shared" si="28"/>
        <v>0</v>
      </c>
      <c r="AN68" s="510"/>
    </row>
    <row r="69" spans="1:40" ht="21.75" customHeight="1">
      <c r="A69" s="512" t="str">
        <f t="shared" si="17"/>
        <v>济宁市--城镇职工</v>
      </c>
      <c r="B69" s="512" t="s">
        <v>685</v>
      </c>
      <c r="C69" s="497" t="s">
        <v>595</v>
      </c>
      <c r="D69" s="497" t="s">
        <v>506</v>
      </c>
      <c r="E69" s="497"/>
      <c r="F69" s="521" t="s">
        <v>596</v>
      </c>
      <c r="G69" s="522">
        <v>1220</v>
      </c>
      <c r="H69" s="498">
        <v>1772</v>
      </c>
      <c r="I69" s="498">
        <v>1772</v>
      </c>
      <c r="J69" s="498">
        <v>1772</v>
      </c>
      <c r="K69" s="498">
        <v>1772</v>
      </c>
      <c r="L69" s="498">
        <v>1772</v>
      </c>
      <c r="M69" s="515">
        <v>0.19</v>
      </c>
      <c r="N69" s="515">
        <v>0.08</v>
      </c>
      <c r="O69" s="500">
        <f t="shared" si="19"/>
        <v>336.68</v>
      </c>
      <c r="P69" s="500">
        <f t="shared" si="20"/>
        <v>141.76</v>
      </c>
      <c r="Q69" s="516">
        <v>0.09</v>
      </c>
      <c r="R69" s="516">
        <v>0.02</v>
      </c>
      <c r="S69" s="502">
        <f t="shared" si="21"/>
        <v>159.47999999999999</v>
      </c>
      <c r="T69" s="502">
        <f t="shared" si="22"/>
        <v>35.44</v>
      </c>
      <c r="U69" s="529"/>
      <c r="V69" s="503"/>
      <c r="W69" s="530">
        <v>8.0000000000000002E-3</v>
      </c>
      <c r="X69" s="505"/>
      <c r="Y69" s="506">
        <f>W69*J69</f>
        <v>14.176</v>
      </c>
      <c r="Z69" s="506"/>
      <c r="AA69" s="513">
        <v>0.02</v>
      </c>
      <c r="AB69" s="513">
        <v>0.01</v>
      </c>
      <c r="AC69" s="508">
        <f t="shared" si="25"/>
        <v>35.44</v>
      </c>
      <c r="AD69" s="508">
        <f>AB69*K69</f>
        <v>17.72</v>
      </c>
      <c r="AE69" s="518">
        <v>8.0000000000000002E-3</v>
      </c>
      <c r="AF69" s="514"/>
      <c r="AG69" s="510">
        <f t="shared" si="10"/>
        <v>14.176</v>
      </c>
      <c r="AH69" s="510"/>
      <c r="AI69" s="511">
        <f t="shared" si="27"/>
        <v>559.952</v>
      </c>
      <c r="AJ69" s="511">
        <f>AD69+T69+P69</f>
        <v>194.92</v>
      </c>
      <c r="AK69" s="518"/>
      <c r="AL69" s="514"/>
      <c r="AM69" s="510">
        <f t="shared" si="28"/>
        <v>0</v>
      </c>
      <c r="AN69" s="510"/>
    </row>
    <row r="70" spans="1:40" ht="21.75" customHeight="1">
      <c r="A70" s="512" t="str">
        <f t="shared" si="17"/>
        <v>临沂市--城镇职工</v>
      </c>
      <c r="B70" s="512" t="s">
        <v>686</v>
      </c>
      <c r="C70" s="497" t="s">
        <v>597</v>
      </c>
      <c r="D70" s="497" t="s">
        <v>506</v>
      </c>
      <c r="E70" s="497"/>
      <c r="F70" s="521" t="s">
        <v>598</v>
      </c>
      <c r="G70" s="522">
        <v>1220</v>
      </c>
      <c r="H70" s="498">
        <v>1772</v>
      </c>
      <c r="I70" s="498">
        <v>1980</v>
      </c>
      <c r="J70" s="498">
        <v>1772</v>
      </c>
      <c r="K70" s="498">
        <v>1980</v>
      </c>
      <c r="L70" s="498">
        <v>1980</v>
      </c>
      <c r="M70" s="515">
        <v>0.18</v>
      </c>
      <c r="N70" s="515">
        <v>0.08</v>
      </c>
      <c r="O70" s="500">
        <f t="shared" si="19"/>
        <v>318.95999999999998</v>
      </c>
      <c r="P70" s="500">
        <f t="shared" si="20"/>
        <v>141.76</v>
      </c>
      <c r="Q70" s="516">
        <v>0.09</v>
      </c>
      <c r="R70" s="516">
        <v>0.02</v>
      </c>
      <c r="S70" s="502">
        <f t="shared" si="21"/>
        <v>178.2</v>
      </c>
      <c r="T70" s="502">
        <f t="shared" si="22"/>
        <v>39.6</v>
      </c>
      <c r="U70" s="529"/>
      <c r="V70" s="503"/>
      <c r="W70" s="530">
        <v>6.0000000000000001E-3</v>
      </c>
      <c r="X70" s="505"/>
      <c r="Y70" s="506">
        <f>W70*J70</f>
        <v>10.632</v>
      </c>
      <c r="Z70" s="506"/>
      <c r="AA70" s="513">
        <v>0.02</v>
      </c>
      <c r="AB70" s="513">
        <v>0.01</v>
      </c>
      <c r="AC70" s="508">
        <f t="shared" si="25"/>
        <v>39.6</v>
      </c>
      <c r="AD70" s="508">
        <f>AB70*K70</f>
        <v>19.8</v>
      </c>
      <c r="AE70" s="518">
        <v>6.4999999999999997E-3</v>
      </c>
      <c r="AF70" s="514"/>
      <c r="AG70" s="510">
        <f t="shared" si="10"/>
        <v>12.87</v>
      </c>
      <c r="AH70" s="510"/>
      <c r="AI70" s="511">
        <f t="shared" si="27"/>
        <v>560.26199999999994</v>
      </c>
      <c r="AJ70" s="511">
        <f>AG70+AD70+T70+P70</f>
        <v>214.03</v>
      </c>
      <c r="AK70" s="518"/>
      <c r="AL70" s="514"/>
      <c r="AM70" s="510">
        <f t="shared" si="28"/>
        <v>0</v>
      </c>
      <c r="AN70" s="510"/>
    </row>
    <row r="71" spans="1:40" ht="21.75" customHeight="1">
      <c r="A71" s="512" t="str">
        <f t="shared" si="17"/>
        <v>福州市--城镇职工</v>
      </c>
      <c r="B71" s="512" t="s">
        <v>687</v>
      </c>
      <c r="C71" s="772" t="s">
        <v>599</v>
      </c>
      <c r="D71" s="497" t="s">
        <v>476</v>
      </c>
      <c r="E71" s="772" t="s">
        <v>482</v>
      </c>
      <c r="F71" s="773" t="s">
        <v>600</v>
      </c>
      <c r="G71" s="774">
        <v>1170</v>
      </c>
      <c r="H71" s="498">
        <v>1500</v>
      </c>
      <c r="I71" s="498">
        <v>2805.19</v>
      </c>
      <c r="J71" s="498">
        <v>2404.4499999999998</v>
      </c>
      <c r="K71" s="498">
        <v>1500</v>
      </c>
      <c r="L71" s="498">
        <v>2404.4499999999998</v>
      </c>
      <c r="M71" s="515">
        <v>0.18</v>
      </c>
      <c r="N71" s="515">
        <v>0.08</v>
      </c>
      <c r="O71" s="500">
        <f t="shared" si="19"/>
        <v>270</v>
      </c>
      <c r="P71" s="500">
        <f t="shared" si="20"/>
        <v>120</v>
      </c>
      <c r="Q71" s="516">
        <v>0.08</v>
      </c>
      <c r="R71" s="516">
        <v>0.02</v>
      </c>
      <c r="S71" s="502">
        <f t="shared" si="21"/>
        <v>224.4152</v>
      </c>
      <c r="T71" s="502">
        <f t="shared" si="22"/>
        <v>56.1038</v>
      </c>
      <c r="U71" s="503"/>
      <c r="V71" s="503">
        <v>5</v>
      </c>
      <c r="W71" s="517">
        <v>5.0000000000000001E-3</v>
      </c>
      <c r="X71" s="505"/>
      <c r="Y71" s="506">
        <f t="shared" si="23"/>
        <v>12.02225</v>
      </c>
      <c r="Z71" s="506">
        <f t="shared" si="24"/>
        <v>0</v>
      </c>
      <c r="AA71" s="513">
        <v>0.01</v>
      </c>
      <c r="AB71" s="513">
        <v>0.01</v>
      </c>
      <c r="AC71" s="508">
        <f t="shared" si="25"/>
        <v>15</v>
      </c>
      <c r="AD71" s="508">
        <f t="shared" si="26"/>
        <v>15</v>
      </c>
      <c r="AE71" s="518">
        <v>7.0000000000000001E-3</v>
      </c>
      <c r="AF71" s="514"/>
      <c r="AG71" s="510">
        <f t="shared" si="10"/>
        <v>16.831149999999997</v>
      </c>
      <c r="AH71" s="510">
        <f t="shared" si="11"/>
        <v>0</v>
      </c>
      <c r="AI71" s="511">
        <f t="shared" si="27"/>
        <v>538.26859999999999</v>
      </c>
      <c r="AJ71" s="511">
        <f t="shared" si="27"/>
        <v>196.10380000000001</v>
      </c>
      <c r="AK71" s="518"/>
      <c r="AL71" s="514"/>
      <c r="AM71" s="510">
        <f t="shared" si="28"/>
        <v>0</v>
      </c>
      <c r="AN71" s="510">
        <f t="shared" ref="AN71:AN83" si="30">R71*AL71</f>
        <v>0</v>
      </c>
    </row>
    <row r="72" spans="1:40" ht="21.75" customHeight="1">
      <c r="A72" s="512" t="str">
        <f t="shared" si="17"/>
        <v>福州市--农村职工</v>
      </c>
      <c r="B72" s="512" t="s">
        <v>687</v>
      </c>
      <c r="C72" s="772"/>
      <c r="D72" s="497" t="s">
        <v>479</v>
      </c>
      <c r="E72" s="772"/>
      <c r="F72" s="773"/>
      <c r="G72" s="774"/>
      <c r="H72" s="498">
        <v>1500</v>
      </c>
      <c r="I72" s="498">
        <v>2805.19</v>
      </c>
      <c r="J72" s="498">
        <v>2404.4499999999998</v>
      </c>
      <c r="K72" s="498">
        <v>1500</v>
      </c>
      <c r="L72" s="498">
        <v>2404.4499999999998</v>
      </c>
      <c r="M72" s="515">
        <v>0.18</v>
      </c>
      <c r="N72" s="515">
        <v>0.08</v>
      </c>
      <c r="O72" s="500">
        <f t="shared" si="19"/>
        <v>270</v>
      </c>
      <c r="P72" s="500">
        <f t="shared" si="20"/>
        <v>120</v>
      </c>
      <c r="Q72" s="516">
        <v>0.08</v>
      </c>
      <c r="R72" s="516">
        <v>0.02</v>
      </c>
      <c r="S72" s="502">
        <f t="shared" si="21"/>
        <v>224.4152</v>
      </c>
      <c r="T72" s="502">
        <f t="shared" si="22"/>
        <v>56.1038</v>
      </c>
      <c r="U72" s="503"/>
      <c r="V72" s="503">
        <v>5</v>
      </c>
      <c r="W72" s="517">
        <v>5.0000000000000001E-3</v>
      </c>
      <c r="X72" s="505"/>
      <c r="Y72" s="506">
        <f t="shared" si="23"/>
        <v>12.02225</v>
      </c>
      <c r="Z72" s="506">
        <f t="shared" si="24"/>
        <v>0</v>
      </c>
      <c r="AA72" s="513">
        <v>0.01</v>
      </c>
      <c r="AB72" s="513"/>
      <c r="AC72" s="508">
        <f t="shared" si="25"/>
        <v>15</v>
      </c>
      <c r="AD72" s="508">
        <f t="shared" si="26"/>
        <v>0</v>
      </c>
      <c r="AE72" s="518">
        <v>7.0000000000000001E-3</v>
      </c>
      <c r="AF72" s="514"/>
      <c r="AG72" s="510">
        <f t="shared" si="10"/>
        <v>16.831149999999997</v>
      </c>
      <c r="AH72" s="510">
        <f t="shared" si="11"/>
        <v>0</v>
      </c>
      <c r="AI72" s="511">
        <f t="shared" si="27"/>
        <v>538.26859999999999</v>
      </c>
      <c r="AJ72" s="511">
        <f t="shared" si="27"/>
        <v>181.10380000000001</v>
      </c>
      <c r="AK72" s="518"/>
      <c r="AL72" s="514"/>
      <c r="AM72" s="510">
        <f t="shared" si="28"/>
        <v>0</v>
      </c>
      <c r="AN72" s="510">
        <f t="shared" si="30"/>
        <v>0</v>
      </c>
    </row>
    <row r="73" spans="1:40" ht="21.75" customHeight="1">
      <c r="A73" s="512" t="str">
        <f t="shared" si="17"/>
        <v>厦门市--本市职工</v>
      </c>
      <c r="B73" s="512" t="s">
        <v>688</v>
      </c>
      <c r="C73" s="772" t="s">
        <v>601</v>
      </c>
      <c r="D73" s="497" t="s">
        <v>602</v>
      </c>
      <c r="E73" s="772" t="s">
        <v>482</v>
      </c>
      <c r="F73" s="773" t="s">
        <v>603</v>
      </c>
      <c r="G73" s="774">
        <v>1200</v>
      </c>
      <c r="H73" s="498">
        <f>4377*0.6</f>
        <v>2626.2</v>
      </c>
      <c r="I73" s="498">
        <f>4377*0.6</f>
        <v>2626.2</v>
      </c>
      <c r="J73" s="498">
        <v>1320</v>
      </c>
      <c r="K73" s="498">
        <v>1320</v>
      </c>
      <c r="L73" s="498">
        <f>4377*0.6</f>
        <v>2626.2</v>
      </c>
      <c r="M73" s="515">
        <v>0.14000000000000001</v>
      </c>
      <c r="N73" s="515">
        <v>0.08</v>
      </c>
      <c r="O73" s="500">
        <f t="shared" si="19"/>
        <v>367.66800000000001</v>
      </c>
      <c r="P73" s="500">
        <f t="shared" si="20"/>
        <v>210.096</v>
      </c>
      <c r="Q73" s="516">
        <v>0.08</v>
      </c>
      <c r="R73" s="516">
        <v>0.02</v>
      </c>
      <c r="S73" s="502">
        <f t="shared" si="21"/>
        <v>210.096</v>
      </c>
      <c r="T73" s="502">
        <f t="shared" si="22"/>
        <v>52.524000000000001</v>
      </c>
      <c r="U73" s="503"/>
      <c r="V73" s="503">
        <v>3</v>
      </c>
      <c r="W73" s="517">
        <v>5.0000000000000001E-3</v>
      </c>
      <c r="X73" s="505"/>
      <c r="Y73" s="506">
        <f t="shared" si="23"/>
        <v>6.6000000000000005</v>
      </c>
      <c r="Z73" s="506">
        <f t="shared" si="24"/>
        <v>0</v>
      </c>
      <c r="AA73" s="513">
        <v>0.02</v>
      </c>
      <c r="AB73" s="513">
        <v>0.01</v>
      </c>
      <c r="AC73" s="508">
        <f t="shared" si="25"/>
        <v>26.400000000000002</v>
      </c>
      <c r="AD73" s="508">
        <f t="shared" si="26"/>
        <v>13.200000000000001</v>
      </c>
      <c r="AE73" s="518">
        <v>8.0000000000000002E-3</v>
      </c>
      <c r="AF73" s="514"/>
      <c r="AG73" s="510">
        <f t="shared" si="10"/>
        <v>21.009599999999999</v>
      </c>
      <c r="AH73" s="510">
        <f t="shared" si="11"/>
        <v>0</v>
      </c>
      <c r="AI73" s="511">
        <f t="shared" si="27"/>
        <v>631.77359999999999</v>
      </c>
      <c r="AJ73" s="511">
        <f t="shared" si="27"/>
        <v>278.82</v>
      </c>
      <c r="AK73" s="518"/>
      <c r="AL73" s="514"/>
      <c r="AM73" s="510">
        <f t="shared" si="28"/>
        <v>0</v>
      </c>
      <c r="AN73" s="510">
        <f t="shared" si="30"/>
        <v>0</v>
      </c>
    </row>
    <row r="74" spans="1:40" ht="21.75" customHeight="1">
      <c r="A74" s="512" t="str">
        <f t="shared" si="17"/>
        <v>厦门市--外来职工</v>
      </c>
      <c r="B74" s="512" t="s">
        <v>688</v>
      </c>
      <c r="C74" s="772"/>
      <c r="D74" s="497" t="s">
        <v>604</v>
      </c>
      <c r="E74" s="772"/>
      <c r="F74" s="773"/>
      <c r="G74" s="774"/>
      <c r="H74" s="498">
        <v>1320</v>
      </c>
      <c r="I74" s="498">
        <v>2626.2</v>
      </c>
      <c r="J74" s="498">
        <v>1320</v>
      </c>
      <c r="K74" s="498">
        <v>1320</v>
      </c>
      <c r="L74" s="498">
        <f>4377*0.6</f>
        <v>2626.2</v>
      </c>
      <c r="M74" s="515">
        <v>0.14000000000000001</v>
      </c>
      <c r="N74" s="515">
        <v>0.08</v>
      </c>
      <c r="O74" s="500">
        <f t="shared" si="19"/>
        <v>184.8</v>
      </c>
      <c r="P74" s="500">
        <f t="shared" si="20"/>
        <v>105.60000000000001</v>
      </c>
      <c r="Q74" s="516">
        <v>0.04</v>
      </c>
      <c r="R74" s="516">
        <v>0.02</v>
      </c>
      <c r="S74" s="502">
        <f t="shared" si="21"/>
        <v>105.048</v>
      </c>
      <c r="T74" s="502">
        <f t="shared" si="22"/>
        <v>52.524000000000001</v>
      </c>
      <c r="U74" s="503"/>
      <c r="V74" s="503">
        <v>3</v>
      </c>
      <c r="W74" s="517">
        <v>5.0000000000000001E-3</v>
      </c>
      <c r="X74" s="505"/>
      <c r="Y74" s="506">
        <f t="shared" si="23"/>
        <v>6.6000000000000005</v>
      </c>
      <c r="Z74" s="506">
        <f t="shared" si="24"/>
        <v>0</v>
      </c>
      <c r="AA74" s="513">
        <v>0.02</v>
      </c>
      <c r="AB74" s="513"/>
      <c r="AC74" s="508">
        <f t="shared" si="25"/>
        <v>26.400000000000002</v>
      </c>
      <c r="AD74" s="508">
        <f t="shared" si="26"/>
        <v>0</v>
      </c>
      <c r="AE74" s="518">
        <v>8.0000000000000002E-3</v>
      </c>
      <c r="AF74" s="514"/>
      <c r="AG74" s="510">
        <f t="shared" ref="AG74:AG83" si="31">L74*AE74</f>
        <v>21.009599999999999</v>
      </c>
      <c r="AH74" s="510">
        <f t="shared" ref="AH74:AH83" si="32">L74*AF74</f>
        <v>0</v>
      </c>
      <c r="AI74" s="511">
        <f t="shared" si="27"/>
        <v>343.85759999999999</v>
      </c>
      <c r="AJ74" s="511">
        <f t="shared" si="27"/>
        <v>161.12400000000002</v>
      </c>
      <c r="AK74" s="518"/>
      <c r="AL74" s="514"/>
      <c r="AM74" s="510">
        <f t="shared" si="28"/>
        <v>0</v>
      </c>
      <c r="AN74" s="510">
        <f t="shared" si="30"/>
        <v>0</v>
      </c>
    </row>
    <row r="75" spans="1:40" ht="21.75" customHeight="1">
      <c r="A75" s="512" t="str">
        <f t="shared" si="17"/>
        <v>广州市--本地城镇</v>
      </c>
      <c r="B75" s="512" t="s">
        <v>689</v>
      </c>
      <c r="C75" s="772" t="s">
        <v>605</v>
      </c>
      <c r="D75" s="497" t="s">
        <v>606</v>
      </c>
      <c r="E75" s="772" t="s">
        <v>482</v>
      </c>
      <c r="F75" s="773" t="s">
        <v>607</v>
      </c>
      <c r="G75" s="774">
        <v>1550</v>
      </c>
      <c r="H75" s="498">
        <v>2139</v>
      </c>
      <c r="I75" s="498">
        <v>3188</v>
      </c>
      <c r="J75" s="498">
        <v>1550</v>
      </c>
      <c r="K75" s="498">
        <v>1550</v>
      </c>
      <c r="L75" s="498">
        <v>3188</v>
      </c>
      <c r="M75" s="531">
        <v>0.12</v>
      </c>
      <c r="N75" s="531">
        <v>0.08</v>
      </c>
      <c r="O75" s="500">
        <f t="shared" si="19"/>
        <v>256.68</v>
      </c>
      <c r="P75" s="500">
        <f t="shared" si="20"/>
        <v>171.12</v>
      </c>
      <c r="Q75" s="516">
        <v>0.08</v>
      </c>
      <c r="R75" s="516">
        <v>0.02</v>
      </c>
      <c r="S75" s="502">
        <f t="shared" si="21"/>
        <v>255.04</v>
      </c>
      <c r="T75" s="502">
        <f t="shared" si="22"/>
        <v>63.76</v>
      </c>
      <c r="U75" s="503">
        <v>13.81</v>
      </c>
      <c r="V75" s="503"/>
      <c r="W75" s="517">
        <v>5.0000000000000001E-3</v>
      </c>
      <c r="X75" s="505"/>
      <c r="Y75" s="506">
        <f t="shared" si="23"/>
        <v>7.75</v>
      </c>
      <c r="Z75" s="506">
        <f t="shared" si="24"/>
        <v>0</v>
      </c>
      <c r="AA75" s="513">
        <v>8.9999999999999993E-3</v>
      </c>
      <c r="AB75" s="513">
        <v>5.0000000000000001E-3</v>
      </c>
      <c r="AC75" s="508">
        <f t="shared" si="25"/>
        <v>13.95</v>
      </c>
      <c r="AD75" s="508">
        <f t="shared" si="26"/>
        <v>7.75</v>
      </c>
      <c r="AE75" s="518">
        <v>8.5000000000000006E-3</v>
      </c>
      <c r="AF75" s="514"/>
      <c r="AG75" s="510">
        <f t="shared" si="31"/>
        <v>27.098000000000003</v>
      </c>
      <c r="AH75" s="510">
        <f t="shared" si="32"/>
        <v>0</v>
      </c>
      <c r="AI75" s="511">
        <f t="shared" si="27"/>
        <v>574.32799999999997</v>
      </c>
      <c r="AJ75" s="511">
        <f t="shared" si="27"/>
        <v>242.63</v>
      </c>
      <c r="AK75" s="518"/>
      <c r="AL75" s="514"/>
      <c r="AM75" s="510">
        <f t="shared" si="28"/>
        <v>0</v>
      </c>
      <c r="AN75" s="510">
        <f t="shared" si="30"/>
        <v>0</v>
      </c>
    </row>
    <row r="76" spans="1:40" ht="21.75" customHeight="1">
      <c r="A76" s="512" t="str">
        <f t="shared" si="17"/>
        <v>广州市--外来农户</v>
      </c>
      <c r="B76" s="512" t="s">
        <v>689</v>
      </c>
      <c r="C76" s="772"/>
      <c r="D76" s="497" t="s">
        <v>474</v>
      </c>
      <c r="E76" s="772"/>
      <c r="F76" s="773"/>
      <c r="G76" s="774"/>
      <c r="H76" s="498">
        <v>2139</v>
      </c>
      <c r="I76" s="498">
        <v>3188</v>
      </c>
      <c r="J76" s="498">
        <v>1550</v>
      </c>
      <c r="K76" s="498">
        <v>1550</v>
      </c>
      <c r="L76" s="498">
        <v>3188</v>
      </c>
      <c r="M76" s="531">
        <v>0.12</v>
      </c>
      <c r="N76" s="531">
        <v>0.08</v>
      </c>
      <c r="O76" s="500">
        <f t="shared" si="19"/>
        <v>256.68</v>
      </c>
      <c r="P76" s="500">
        <f t="shared" si="20"/>
        <v>171.12</v>
      </c>
      <c r="Q76" s="516">
        <v>0.08</v>
      </c>
      <c r="R76" s="516">
        <v>0.02</v>
      </c>
      <c r="S76" s="502">
        <f t="shared" si="21"/>
        <v>255.04</v>
      </c>
      <c r="T76" s="502">
        <f t="shared" si="22"/>
        <v>63.76</v>
      </c>
      <c r="U76" s="503">
        <v>13.81</v>
      </c>
      <c r="V76" s="503"/>
      <c r="W76" s="517">
        <v>5.0000000000000001E-3</v>
      </c>
      <c r="X76" s="505"/>
      <c r="Y76" s="506">
        <f t="shared" si="23"/>
        <v>7.75</v>
      </c>
      <c r="Z76" s="506">
        <f t="shared" si="24"/>
        <v>0</v>
      </c>
      <c r="AA76" s="513">
        <v>8.9999999999999993E-3</v>
      </c>
      <c r="AB76" s="513">
        <v>5.0000000000000001E-3</v>
      </c>
      <c r="AC76" s="508">
        <f t="shared" si="25"/>
        <v>13.95</v>
      </c>
      <c r="AD76" s="508">
        <f t="shared" si="26"/>
        <v>7.75</v>
      </c>
      <c r="AE76" s="518">
        <v>8.5000000000000006E-3</v>
      </c>
      <c r="AF76" s="514"/>
      <c r="AG76" s="510">
        <f t="shared" si="31"/>
        <v>27.098000000000003</v>
      </c>
      <c r="AH76" s="510">
        <f t="shared" si="32"/>
        <v>0</v>
      </c>
      <c r="AI76" s="511">
        <f t="shared" si="27"/>
        <v>574.32799999999997</v>
      </c>
      <c r="AJ76" s="511">
        <f t="shared" si="27"/>
        <v>242.63</v>
      </c>
      <c r="AK76" s="518"/>
      <c r="AL76" s="514"/>
      <c r="AM76" s="510">
        <f t="shared" si="28"/>
        <v>0</v>
      </c>
      <c r="AN76" s="510">
        <f t="shared" si="30"/>
        <v>0</v>
      </c>
    </row>
    <row r="77" spans="1:40" ht="21.75" customHeight="1">
      <c r="A77" s="512" t="str">
        <f t="shared" si="17"/>
        <v>深圳市--深圳户口</v>
      </c>
      <c r="B77" s="512" t="s">
        <v>690</v>
      </c>
      <c r="C77" s="772" t="s">
        <v>608</v>
      </c>
      <c r="D77" s="497" t="s">
        <v>609</v>
      </c>
      <c r="E77" s="775" t="s">
        <v>610</v>
      </c>
      <c r="F77" s="773" t="s">
        <v>611</v>
      </c>
      <c r="G77" s="774">
        <v>1808</v>
      </c>
      <c r="H77" s="498">
        <v>2757</v>
      </c>
      <c r="I77" s="498">
        <v>2951</v>
      </c>
      <c r="J77" s="498">
        <v>2757</v>
      </c>
      <c r="K77" s="498">
        <v>1808</v>
      </c>
      <c r="L77" s="498">
        <v>2951</v>
      </c>
      <c r="M77" s="515">
        <v>0.14000000000000001</v>
      </c>
      <c r="N77" s="515">
        <v>0.08</v>
      </c>
      <c r="O77" s="500">
        <f t="shared" si="19"/>
        <v>385.98</v>
      </c>
      <c r="P77" s="500">
        <f t="shared" si="20"/>
        <v>220.56</v>
      </c>
      <c r="Q77" s="516">
        <v>6.5000000000000002E-2</v>
      </c>
      <c r="R77" s="516">
        <v>0.02</v>
      </c>
      <c r="S77" s="502">
        <f t="shared" si="21"/>
        <v>191.815</v>
      </c>
      <c r="T77" s="502">
        <f t="shared" si="22"/>
        <v>59.02</v>
      </c>
      <c r="U77" s="503"/>
      <c r="V77" s="503"/>
      <c r="W77" s="517">
        <v>4.0000000000000001E-3</v>
      </c>
      <c r="X77" s="505"/>
      <c r="Y77" s="506">
        <f t="shared" si="23"/>
        <v>11.028</v>
      </c>
      <c r="Z77" s="506">
        <f t="shared" si="24"/>
        <v>0</v>
      </c>
      <c r="AA77" s="513">
        <v>0.02</v>
      </c>
      <c r="AB77" s="513">
        <v>0.01</v>
      </c>
      <c r="AC77" s="508">
        <f t="shared" si="25"/>
        <v>36.160000000000004</v>
      </c>
      <c r="AD77" s="508">
        <f t="shared" si="26"/>
        <v>18.080000000000002</v>
      </c>
      <c r="AE77" s="518">
        <v>5.0000000000000001E-3</v>
      </c>
      <c r="AF77" s="514"/>
      <c r="AG77" s="510">
        <f t="shared" si="31"/>
        <v>14.755000000000001</v>
      </c>
      <c r="AH77" s="510">
        <f t="shared" si="32"/>
        <v>0</v>
      </c>
      <c r="AI77" s="511">
        <f t="shared" si="27"/>
        <v>639.73800000000006</v>
      </c>
      <c r="AJ77" s="511">
        <f t="shared" si="27"/>
        <v>297.65999999999997</v>
      </c>
      <c r="AK77" s="518"/>
      <c r="AL77" s="514"/>
      <c r="AM77" s="510">
        <f t="shared" si="28"/>
        <v>0</v>
      </c>
      <c r="AN77" s="510">
        <f t="shared" si="30"/>
        <v>0</v>
      </c>
    </row>
    <row r="78" spans="1:40" ht="21.75" customHeight="1">
      <c r="A78" s="512" t="str">
        <f t="shared" si="17"/>
        <v>深圳市--非深圳户籍</v>
      </c>
      <c r="B78" s="512" t="s">
        <v>690</v>
      </c>
      <c r="C78" s="772"/>
      <c r="D78" s="497" t="s">
        <v>612</v>
      </c>
      <c r="E78" s="775"/>
      <c r="F78" s="773"/>
      <c r="G78" s="774"/>
      <c r="H78" s="498">
        <v>1808</v>
      </c>
      <c r="I78" s="498">
        <v>4918</v>
      </c>
      <c r="J78" s="498">
        <v>1808</v>
      </c>
      <c r="K78" s="498">
        <v>1808</v>
      </c>
      <c r="L78" s="498">
        <v>0</v>
      </c>
      <c r="M78" s="515">
        <v>0.13</v>
      </c>
      <c r="N78" s="515">
        <v>0.08</v>
      </c>
      <c r="O78" s="500">
        <f t="shared" si="19"/>
        <v>235.04000000000002</v>
      </c>
      <c r="P78" s="500">
        <f t="shared" si="20"/>
        <v>144.64000000000001</v>
      </c>
      <c r="Q78" s="516">
        <v>6.0000000000000001E-3</v>
      </c>
      <c r="R78" s="516">
        <v>2E-3</v>
      </c>
      <c r="S78" s="502">
        <f t="shared" si="21"/>
        <v>29.507999999999999</v>
      </c>
      <c r="T78" s="502">
        <f t="shared" si="22"/>
        <v>9.8360000000000003</v>
      </c>
      <c r="U78" s="503"/>
      <c r="V78" s="503"/>
      <c r="W78" s="517">
        <v>4.0000000000000001E-3</v>
      </c>
      <c r="X78" s="505"/>
      <c r="Y78" s="506">
        <f t="shared" si="23"/>
        <v>7.2320000000000002</v>
      </c>
      <c r="Z78" s="506">
        <f t="shared" si="24"/>
        <v>0</v>
      </c>
      <c r="AA78" s="513">
        <v>0.02</v>
      </c>
      <c r="AB78" s="513">
        <v>0.01</v>
      </c>
      <c r="AC78" s="508">
        <f t="shared" si="25"/>
        <v>36.160000000000004</v>
      </c>
      <c r="AD78" s="508">
        <f t="shared" si="26"/>
        <v>18.080000000000002</v>
      </c>
      <c r="AE78" s="518">
        <v>2E-3</v>
      </c>
      <c r="AF78" s="514"/>
      <c r="AG78" s="510">
        <f t="shared" si="31"/>
        <v>0</v>
      </c>
      <c r="AH78" s="510">
        <f t="shared" si="32"/>
        <v>0</v>
      </c>
      <c r="AI78" s="511">
        <f t="shared" si="27"/>
        <v>307.94000000000005</v>
      </c>
      <c r="AJ78" s="511">
        <f t="shared" si="27"/>
        <v>172.55600000000004</v>
      </c>
      <c r="AK78" s="518"/>
      <c r="AL78" s="514"/>
      <c r="AM78" s="510">
        <f t="shared" si="28"/>
        <v>0</v>
      </c>
      <c r="AN78" s="510">
        <f t="shared" si="30"/>
        <v>0</v>
      </c>
    </row>
    <row r="79" spans="1:40" ht="21.75" customHeight="1">
      <c r="A79" s="512" t="str">
        <f t="shared" si="17"/>
        <v>深圳市--农民工</v>
      </c>
      <c r="B79" s="512" t="s">
        <v>690</v>
      </c>
      <c r="C79" s="772"/>
      <c r="D79" s="497" t="s">
        <v>613</v>
      </c>
      <c r="E79" s="775"/>
      <c r="F79" s="773"/>
      <c r="G79" s="774"/>
      <c r="H79" s="498">
        <v>1808</v>
      </c>
      <c r="I79" s="498" t="s">
        <v>480</v>
      </c>
      <c r="J79" s="498">
        <v>1808</v>
      </c>
      <c r="K79" s="498">
        <v>1808</v>
      </c>
      <c r="L79" s="498" t="s">
        <v>480</v>
      </c>
      <c r="M79" s="515"/>
      <c r="N79" s="515"/>
      <c r="O79" s="500">
        <f t="shared" si="19"/>
        <v>0</v>
      </c>
      <c r="P79" s="500">
        <f t="shared" si="20"/>
        <v>0</v>
      </c>
      <c r="Q79" s="516"/>
      <c r="R79" s="516"/>
      <c r="S79" s="502">
        <v>8</v>
      </c>
      <c r="T79" s="502">
        <v>4</v>
      </c>
      <c r="U79" s="503"/>
      <c r="V79" s="503"/>
      <c r="W79" s="517">
        <v>4.0000000000000001E-3</v>
      </c>
      <c r="X79" s="505"/>
      <c r="Y79" s="506">
        <f t="shared" si="23"/>
        <v>7.2320000000000002</v>
      </c>
      <c r="Z79" s="506">
        <f t="shared" si="24"/>
        <v>0</v>
      </c>
      <c r="AA79" s="513">
        <v>0.02</v>
      </c>
      <c r="AB79" s="513">
        <v>0.01</v>
      </c>
      <c r="AC79" s="508">
        <f t="shared" si="25"/>
        <v>36.160000000000004</v>
      </c>
      <c r="AD79" s="508">
        <f t="shared" si="26"/>
        <v>18.080000000000002</v>
      </c>
      <c r="AE79" s="518">
        <v>0</v>
      </c>
      <c r="AF79" s="514"/>
      <c r="AG79" s="510" t="e">
        <f t="shared" si="31"/>
        <v>#VALUE!</v>
      </c>
      <c r="AH79" s="510" t="e">
        <f t="shared" si="32"/>
        <v>#VALUE!</v>
      </c>
      <c r="AI79" s="511" t="e">
        <f t="shared" si="27"/>
        <v>#VALUE!</v>
      </c>
      <c r="AJ79" s="511" t="e">
        <f t="shared" si="27"/>
        <v>#VALUE!</v>
      </c>
      <c r="AK79" s="518"/>
      <c r="AL79" s="514"/>
      <c r="AM79" s="510">
        <f t="shared" si="28"/>
        <v>0</v>
      </c>
      <c r="AN79" s="510">
        <f t="shared" si="30"/>
        <v>0</v>
      </c>
    </row>
    <row r="80" spans="1:40" ht="99" customHeight="1">
      <c r="A80" s="512" t="str">
        <f t="shared" si="17"/>
        <v>中山市--城镇职工</v>
      </c>
      <c r="B80" s="512" t="s">
        <v>691</v>
      </c>
      <c r="C80" s="497" t="s">
        <v>614</v>
      </c>
      <c r="D80" s="497" t="s">
        <v>476</v>
      </c>
      <c r="E80" s="526" t="s">
        <v>615</v>
      </c>
      <c r="F80" s="521" t="s">
        <v>616</v>
      </c>
      <c r="G80" s="522">
        <v>1310</v>
      </c>
      <c r="H80" s="498">
        <v>1500</v>
      </c>
      <c r="I80" s="498">
        <v>2080</v>
      </c>
      <c r="J80" s="498">
        <v>1500</v>
      </c>
      <c r="K80" s="498">
        <v>1500</v>
      </c>
      <c r="L80" s="498"/>
      <c r="M80" s="515">
        <v>0.1</v>
      </c>
      <c r="N80" s="515">
        <v>0.08</v>
      </c>
      <c r="O80" s="500">
        <f t="shared" si="19"/>
        <v>150</v>
      </c>
      <c r="P80" s="500">
        <f t="shared" si="20"/>
        <v>120</v>
      </c>
      <c r="Q80" s="516">
        <f>2%+9%</f>
        <v>0.11</v>
      </c>
      <c r="R80" s="516">
        <f>0.5%+3.5%</f>
        <v>0.04</v>
      </c>
      <c r="S80" s="502">
        <f t="shared" si="21"/>
        <v>228.8</v>
      </c>
      <c r="T80" s="502">
        <f t="shared" si="22"/>
        <v>83.2</v>
      </c>
      <c r="U80" s="503"/>
      <c r="V80" s="503"/>
      <c r="W80" s="517">
        <v>0.01</v>
      </c>
      <c r="X80" s="505"/>
      <c r="Y80" s="506">
        <f t="shared" si="23"/>
        <v>15</v>
      </c>
      <c r="Z80" s="506">
        <f t="shared" si="24"/>
        <v>0</v>
      </c>
      <c r="AA80" s="513">
        <v>0.01</v>
      </c>
      <c r="AB80" s="513"/>
      <c r="AC80" s="508">
        <f t="shared" si="25"/>
        <v>15</v>
      </c>
      <c r="AD80" s="508">
        <f t="shared" si="26"/>
        <v>0</v>
      </c>
      <c r="AE80" s="518"/>
      <c r="AF80" s="514"/>
      <c r="AG80" s="510">
        <f t="shared" si="31"/>
        <v>0</v>
      </c>
      <c r="AH80" s="510">
        <f t="shared" si="32"/>
        <v>0</v>
      </c>
      <c r="AI80" s="511">
        <f t="shared" si="27"/>
        <v>408.8</v>
      </c>
      <c r="AJ80" s="511">
        <f t="shared" si="27"/>
        <v>203.2</v>
      </c>
      <c r="AK80" s="518"/>
      <c r="AL80" s="514"/>
      <c r="AM80" s="510">
        <f t="shared" si="28"/>
        <v>0</v>
      </c>
      <c r="AN80" s="510">
        <f t="shared" si="30"/>
        <v>0</v>
      </c>
    </row>
    <row r="81" spans="1:40" ht="21.75" customHeight="1">
      <c r="A81" s="512" t="str">
        <f t="shared" si="17"/>
        <v>柳州市--城镇职工</v>
      </c>
      <c r="B81" s="512" t="s">
        <v>692</v>
      </c>
      <c r="C81" s="497" t="s">
        <v>617</v>
      </c>
      <c r="D81" s="497" t="s">
        <v>476</v>
      </c>
      <c r="E81" s="526" t="s">
        <v>482</v>
      </c>
      <c r="F81" s="521" t="s">
        <v>618</v>
      </c>
      <c r="G81" s="522">
        <v>1200</v>
      </c>
      <c r="H81" s="498">
        <v>1880.7</v>
      </c>
      <c r="I81" s="498">
        <v>1880.7</v>
      </c>
      <c r="J81" s="498">
        <v>1880.7</v>
      </c>
      <c r="K81" s="498">
        <v>1880.7</v>
      </c>
      <c r="L81" s="498">
        <v>1880.7</v>
      </c>
      <c r="M81" s="515">
        <v>0.2</v>
      </c>
      <c r="N81" s="515">
        <v>0.08</v>
      </c>
      <c r="O81" s="500">
        <f t="shared" si="19"/>
        <v>376.14000000000004</v>
      </c>
      <c r="P81" s="500">
        <f t="shared" si="20"/>
        <v>150.45600000000002</v>
      </c>
      <c r="Q81" s="516">
        <v>7.4999999999999997E-2</v>
      </c>
      <c r="R81" s="516">
        <v>0.02</v>
      </c>
      <c r="S81" s="502">
        <f t="shared" si="21"/>
        <v>141.05250000000001</v>
      </c>
      <c r="T81" s="502">
        <f t="shared" si="22"/>
        <v>37.614000000000004</v>
      </c>
      <c r="U81" s="503">
        <v>36</v>
      </c>
      <c r="V81" s="503">
        <v>36</v>
      </c>
      <c r="W81" s="517">
        <v>5.0000000000000001E-3</v>
      </c>
      <c r="X81" s="505"/>
      <c r="Y81" s="506">
        <f t="shared" si="23"/>
        <v>9.4035000000000011</v>
      </c>
      <c r="Z81" s="506">
        <f t="shared" si="24"/>
        <v>0</v>
      </c>
      <c r="AA81" s="513">
        <v>0.02</v>
      </c>
      <c r="AB81" s="513">
        <v>0.01</v>
      </c>
      <c r="AC81" s="508">
        <f t="shared" si="25"/>
        <v>37.614000000000004</v>
      </c>
      <c r="AD81" s="508">
        <f t="shared" si="26"/>
        <v>18.807000000000002</v>
      </c>
      <c r="AE81" s="518">
        <v>8.9999999999999993E-3</v>
      </c>
      <c r="AF81" s="514"/>
      <c r="AG81" s="510">
        <f t="shared" si="31"/>
        <v>16.926299999999998</v>
      </c>
      <c r="AH81" s="510">
        <f t="shared" si="32"/>
        <v>0</v>
      </c>
      <c r="AI81" s="511">
        <f t="shared" si="27"/>
        <v>617.13630000000012</v>
      </c>
      <c r="AJ81" s="511">
        <f t="shared" si="27"/>
        <v>242.87700000000001</v>
      </c>
      <c r="AK81" s="518"/>
      <c r="AL81" s="514"/>
      <c r="AM81" s="510">
        <f t="shared" si="28"/>
        <v>0</v>
      </c>
      <c r="AN81" s="510">
        <f t="shared" si="30"/>
        <v>0</v>
      </c>
    </row>
    <row r="82" spans="1:40" ht="21.75" customHeight="1">
      <c r="A82" s="512" t="str">
        <f t="shared" si="17"/>
        <v>南宁市--城镇职工</v>
      </c>
      <c r="B82" s="512" t="s">
        <v>693</v>
      </c>
      <c r="C82" s="497" t="s">
        <v>619</v>
      </c>
      <c r="D82" s="497" t="s">
        <v>476</v>
      </c>
      <c r="E82" s="497"/>
      <c r="F82" s="521" t="s">
        <v>620</v>
      </c>
      <c r="G82" s="522">
        <v>1200</v>
      </c>
      <c r="H82" s="498">
        <v>1880.7</v>
      </c>
      <c r="I82" s="498">
        <v>1880.7</v>
      </c>
      <c r="J82" s="498">
        <v>1880.7</v>
      </c>
      <c r="K82" s="498">
        <v>1880.7</v>
      </c>
      <c r="L82" s="498">
        <v>1880.7</v>
      </c>
      <c r="M82" s="515">
        <v>0.2</v>
      </c>
      <c r="N82" s="515">
        <v>0.08</v>
      </c>
      <c r="O82" s="500">
        <f t="shared" si="19"/>
        <v>376.14000000000004</v>
      </c>
      <c r="P82" s="500">
        <f t="shared" si="20"/>
        <v>150.45600000000002</v>
      </c>
      <c r="Q82" s="516">
        <v>0.08</v>
      </c>
      <c r="R82" s="516">
        <v>0.02</v>
      </c>
      <c r="S82" s="502">
        <f t="shared" si="21"/>
        <v>150.45600000000002</v>
      </c>
      <c r="T82" s="502">
        <f t="shared" si="22"/>
        <v>37.614000000000004</v>
      </c>
      <c r="U82" s="532"/>
      <c r="V82" s="503"/>
      <c r="W82" s="517">
        <v>5.0000000000000001E-3</v>
      </c>
      <c r="X82" s="505"/>
      <c r="Y82" s="506">
        <f t="shared" si="23"/>
        <v>9.4035000000000011</v>
      </c>
      <c r="Z82" s="506">
        <f t="shared" si="24"/>
        <v>0</v>
      </c>
      <c r="AA82" s="513">
        <v>0.02</v>
      </c>
      <c r="AB82" s="513">
        <v>0.01</v>
      </c>
      <c r="AC82" s="508">
        <f t="shared" si="25"/>
        <v>37.614000000000004</v>
      </c>
      <c r="AD82" s="508">
        <f t="shared" si="26"/>
        <v>18.807000000000002</v>
      </c>
      <c r="AE82" s="518">
        <v>6.0000000000000001E-3</v>
      </c>
      <c r="AF82" s="514"/>
      <c r="AG82" s="510">
        <f t="shared" si="31"/>
        <v>11.2842</v>
      </c>
      <c r="AH82" s="510">
        <f t="shared" si="32"/>
        <v>0</v>
      </c>
      <c r="AI82" s="511">
        <f t="shared" si="27"/>
        <v>584.8977000000001</v>
      </c>
      <c r="AJ82" s="511">
        <f t="shared" si="27"/>
        <v>206.87700000000001</v>
      </c>
      <c r="AK82" s="518"/>
      <c r="AL82" s="514"/>
      <c r="AM82" s="510">
        <f t="shared" si="28"/>
        <v>0</v>
      </c>
      <c r="AN82" s="510">
        <f t="shared" si="30"/>
        <v>0</v>
      </c>
    </row>
    <row r="83" spans="1:40" ht="21.75" customHeight="1">
      <c r="A83" s="512" t="str">
        <f t="shared" si="17"/>
        <v>石家庄--城镇职工</v>
      </c>
      <c r="B83" s="512" t="s">
        <v>694</v>
      </c>
      <c r="C83" s="497" t="s">
        <v>621</v>
      </c>
      <c r="D83" s="497" t="s">
        <v>476</v>
      </c>
      <c r="E83" s="497" t="s">
        <v>482</v>
      </c>
      <c r="F83" s="521" t="s">
        <v>622</v>
      </c>
      <c r="G83" s="522">
        <v>1320</v>
      </c>
      <c r="H83" s="533">
        <f>3295.17*0.6</f>
        <v>1977.1019999999999</v>
      </c>
      <c r="I83" s="533">
        <f>3305.75*0.6</f>
        <v>1983.4499999999998</v>
      </c>
      <c r="J83" s="533">
        <f>2928*0.6</f>
        <v>1756.8</v>
      </c>
      <c r="K83" s="533">
        <f>2928*0.6</f>
        <v>1756.8</v>
      </c>
      <c r="L83" s="533">
        <f>3305.75*0.6</f>
        <v>1983.4499999999998</v>
      </c>
      <c r="M83" s="515">
        <v>0.2</v>
      </c>
      <c r="N83" s="515">
        <v>0.08</v>
      </c>
      <c r="O83" s="500">
        <f t="shared" si="19"/>
        <v>395.42039999999997</v>
      </c>
      <c r="P83" s="500">
        <f t="shared" si="20"/>
        <v>158.16816</v>
      </c>
      <c r="Q83" s="516">
        <v>0.08</v>
      </c>
      <c r="R83" s="516">
        <v>0.02</v>
      </c>
      <c r="S83" s="502">
        <f t="shared" si="21"/>
        <v>158.67599999999999</v>
      </c>
      <c r="T83" s="502">
        <f t="shared" si="22"/>
        <v>39.668999999999997</v>
      </c>
      <c r="U83" s="534"/>
      <c r="V83" s="534"/>
      <c r="W83" s="517">
        <v>5.0000000000000001E-3</v>
      </c>
      <c r="X83" s="505"/>
      <c r="Y83" s="506">
        <f t="shared" si="23"/>
        <v>8.7840000000000007</v>
      </c>
      <c r="Z83" s="506">
        <f t="shared" si="24"/>
        <v>0</v>
      </c>
      <c r="AA83" s="513">
        <v>0.02</v>
      </c>
      <c r="AB83" s="513">
        <v>0.01</v>
      </c>
      <c r="AC83" s="508">
        <f t="shared" si="25"/>
        <v>35.136000000000003</v>
      </c>
      <c r="AD83" s="508">
        <f t="shared" si="26"/>
        <v>17.568000000000001</v>
      </c>
      <c r="AE83" s="518">
        <v>8.0000000000000002E-3</v>
      </c>
      <c r="AF83" s="514"/>
      <c r="AG83" s="510">
        <f t="shared" si="31"/>
        <v>15.867599999999999</v>
      </c>
      <c r="AH83" s="510">
        <f t="shared" si="32"/>
        <v>0</v>
      </c>
      <c r="AI83" s="511">
        <f t="shared" si="27"/>
        <v>613.8839999999999</v>
      </c>
      <c r="AJ83" s="511">
        <f t="shared" si="27"/>
        <v>215.40516</v>
      </c>
      <c r="AK83" s="518"/>
      <c r="AL83" s="514"/>
      <c r="AM83" s="510">
        <f t="shared" si="28"/>
        <v>0</v>
      </c>
      <c r="AN83" s="510">
        <f t="shared" si="30"/>
        <v>0</v>
      </c>
    </row>
    <row r="84" spans="1:40" ht="21.75" customHeight="1">
      <c r="A84" s="512" t="str">
        <f t="shared" si="17"/>
        <v>邯郸市--城镇职工</v>
      </c>
      <c r="B84" s="512" t="s">
        <v>695</v>
      </c>
      <c r="C84" s="497" t="s">
        <v>623</v>
      </c>
      <c r="D84" s="497" t="s">
        <v>506</v>
      </c>
      <c r="E84" s="497" t="s">
        <v>509</v>
      </c>
      <c r="F84" s="521" t="s">
        <v>624</v>
      </c>
      <c r="G84" s="522"/>
      <c r="H84" s="533">
        <v>1977.1</v>
      </c>
      <c r="I84" s="533">
        <v>3188</v>
      </c>
      <c r="J84" s="533">
        <v>1977.1</v>
      </c>
      <c r="K84" s="533">
        <v>1977.1</v>
      </c>
      <c r="L84" s="533">
        <v>3188</v>
      </c>
      <c r="M84" s="515">
        <v>0.2</v>
      </c>
      <c r="N84" s="515">
        <v>0.08</v>
      </c>
      <c r="O84" s="500">
        <f>M84*H84</f>
        <v>395.42</v>
      </c>
      <c r="P84" s="500">
        <f>N84*H84</f>
        <v>158.16800000000001</v>
      </c>
      <c r="Q84" s="516">
        <v>6.5000000000000002E-2</v>
      </c>
      <c r="R84" s="516">
        <v>0.02</v>
      </c>
      <c r="S84" s="502">
        <f>Q84*I84</f>
        <v>207.22</v>
      </c>
      <c r="T84" s="502">
        <f>R84*I84</f>
        <v>63.76</v>
      </c>
      <c r="U84" s="534"/>
      <c r="V84" s="534"/>
      <c r="W84" s="517">
        <v>5.0000000000000001E-3</v>
      </c>
      <c r="X84" s="505"/>
      <c r="Y84" s="506">
        <f>W84*J84</f>
        <v>9.8855000000000004</v>
      </c>
      <c r="Z84" s="506"/>
      <c r="AA84" s="513">
        <v>0.02</v>
      </c>
      <c r="AB84" s="513">
        <v>0.01</v>
      </c>
      <c r="AC84" s="508">
        <f>AA84*K84</f>
        <v>39.542000000000002</v>
      </c>
      <c r="AD84" s="508">
        <f>AB84*K84</f>
        <v>19.771000000000001</v>
      </c>
      <c r="AE84" s="518">
        <v>8.0000000000000002E-3</v>
      </c>
      <c r="AF84" s="514"/>
      <c r="AG84" s="510">
        <f>AE84*L84</f>
        <v>25.504000000000001</v>
      </c>
      <c r="AH84" s="510" t="s">
        <v>480</v>
      </c>
      <c r="AI84" s="511">
        <f>AG84+AC84+Y84+S84+O84</f>
        <v>677.57150000000001</v>
      </c>
      <c r="AJ84" s="511">
        <f>AD84+T84+P84</f>
        <v>241.69900000000001</v>
      </c>
      <c r="AK84" s="518"/>
      <c r="AL84" s="514"/>
      <c r="AM84" s="510">
        <f>AK84*R84</f>
        <v>0</v>
      </c>
      <c r="AN84" s="510" t="s">
        <v>480</v>
      </c>
    </row>
    <row r="85" spans="1:40" ht="21.75" customHeight="1">
      <c r="A85" s="512" t="str">
        <f t="shared" si="17"/>
        <v>廊坊市--城镇职工</v>
      </c>
      <c r="B85" s="512" t="s">
        <v>696</v>
      </c>
      <c r="C85" s="497" t="s">
        <v>625</v>
      </c>
      <c r="D85" s="497" t="s">
        <v>506</v>
      </c>
      <c r="E85" s="497" t="s">
        <v>509</v>
      </c>
      <c r="F85" s="521" t="s">
        <v>626</v>
      </c>
      <c r="G85" s="522"/>
      <c r="H85" s="533">
        <v>2300</v>
      </c>
      <c r="I85" s="533">
        <v>2395</v>
      </c>
      <c r="J85" s="533">
        <v>2500</v>
      </c>
      <c r="K85" s="533">
        <v>2271</v>
      </c>
      <c r="L85" s="533" t="s">
        <v>480</v>
      </c>
      <c r="M85" s="515">
        <v>0.2</v>
      </c>
      <c r="N85" s="515">
        <v>0.08</v>
      </c>
      <c r="O85" s="500">
        <f>M85*H85</f>
        <v>460</v>
      </c>
      <c r="P85" s="500">
        <f>N85*H85</f>
        <v>184</v>
      </c>
      <c r="Q85" s="516">
        <v>7.0000000000000007E-2</v>
      </c>
      <c r="R85" s="516">
        <v>0.02</v>
      </c>
      <c r="S85" s="502">
        <f>Q85*I85</f>
        <v>167.65</v>
      </c>
      <c r="T85" s="502">
        <f>R85*I85</f>
        <v>47.9</v>
      </c>
      <c r="U85" s="534"/>
      <c r="V85" s="534"/>
      <c r="W85" s="517">
        <v>1.4999999999999999E-2</v>
      </c>
      <c r="X85" s="505"/>
      <c r="Y85" s="506">
        <f>W85*J85</f>
        <v>37.5</v>
      </c>
      <c r="Z85" s="506"/>
      <c r="AA85" s="513">
        <v>0.02</v>
      </c>
      <c r="AB85" s="513">
        <v>0.01</v>
      </c>
      <c r="AC85" s="508">
        <f>AA85*K85</f>
        <v>45.42</v>
      </c>
      <c r="AD85" s="508">
        <f>AB85*K85</f>
        <v>22.71</v>
      </c>
      <c r="AE85" s="518">
        <v>6.0000000000000001E-3</v>
      </c>
      <c r="AF85" s="514"/>
      <c r="AG85" s="510" t="s">
        <v>480</v>
      </c>
      <c r="AH85" s="510" t="s">
        <v>480</v>
      </c>
      <c r="AI85" s="511">
        <f>AC85+Y85+S85+O85</f>
        <v>710.56999999999994</v>
      </c>
      <c r="AJ85" s="511">
        <f>AD85+T85+P85</f>
        <v>254.61</v>
      </c>
      <c r="AK85" s="518"/>
      <c r="AL85" s="514"/>
      <c r="AM85" s="510" t="s">
        <v>480</v>
      </c>
      <c r="AN85" s="510" t="s">
        <v>480</v>
      </c>
    </row>
    <row r="86" spans="1:40" ht="21.75" customHeight="1">
      <c r="A86" s="512" t="str">
        <f t="shared" si="17"/>
        <v>郴州市--城镇职工</v>
      </c>
      <c r="B86" s="512" t="s">
        <v>697</v>
      </c>
      <c r="C86" s="535" t="s">
        <v>627</v>
      </c>
      <c r="D86" s="536" t="s">
        <v>476</v>
      </c>
      <c r="E86" s="536" t="s">
        <v>628</v>
      </c>
      <c r="F86" s="537" t="s">
        <v>629</v>
      </c>
      <c r="G86" s="538">
        <v>1035</v>
      </c>
      <c r="H86" s="539">
        <v>2265</v>
      </c>
      <c r="I86" s="539">
        <v>2265</v>
      </c>
      <c r="J86" s="539">
        <v>2265</v>
      </c>
      <c r="K86" s="539">
        <v>2265</v>
      </c>
      <c r="L86" s="539">
        <v>2265</v>
      </c>
      <c r="M86" s="540">
        <v>0.2</v>
      </c>
      <c r="N86" s="540">
        <v>0.08</v>
      </c>
      <c r="O86" s="541">
        <f>H86*M86</f>
        <v>453</v>
      </c>
      <c r="P86" s="541">
        <f>H86*N86</f>
        <v>181.20000000000002</v>
      </c>
      <c r="Q86" s="542">
        <v>0.08</v>
      </c>
      <c r="R86" s="542">
        <v>0.02</v>
      </c>
      <c r="S86" s="543">
        <f>I86*Q86</f>
        <v>181.20000000000002</v>
      </c>
      <c r="T86" s="543">
        <f>I86*R86</f>
        <v>45.300000000000004</v>
      </c>
      <c r="U86" s="544"/>
      <c r="V86" s="544"/>
      <c r="W86" s="545">
        <v>0.01</v>
      </c>
      <c r="X86" s="546"/>
      <c r="Y86" s="546">
        <f>J86*W86</f>
        <v>22.650000000000002</v>
      </c>
      <c r="Z86" s="546"/>
      <c r="AA86" s="547">
        <v>0.02</v>
      </c>
      <c r="AB86" s="547">
        <v>0.01</v>
      </c>
      <c r="AC86" s="548">
        <f>K86*AA86</f>
        <v>45.300000000000004</v>
      </c>
      <c r="AD86" s="548">
        <f>K86*AB86</f>
        <v>22.650000000000002</v>
      </c>
      <c r="AE86" s="549">
        <v>7.0000000000000001E-3</v>
      </c>
      <c r="AF86" s="549"/>
      <c r="AG86" s="550">
        <f>L86*AE86</f>
        <v>15.855</v>
      </c>
      <c r="AH86" s="549"/>
      <c r="AI86" s="551">
        <f>AG86+AC86+Y86+S86+O86</f>
        <v>718.005</v>
      </c>
      <c r="AJ86" s="551">
        <f>AD86+T86+P86</f>
        <v>249.15000000000003</v>
      </c>
      <c r="AK86" s="549"/>
      <c r="AL86" s="549"/>
      <c r="AM86" s="550">
        <f>R86*AK86</f>
        <v>0</v>
      </c>
      <c r="AN86" s="549"/>
    </row>
    <row r="87" spans="1:40" ht="37.5" customHeight="1">
      <c r="A87" s="512" t="str">
        <f t="shared" si="17"/>
        <v>娄底市--城镇职工</v>
      </c>
      <c r="B87" s="512" t="s">
        <v>698</v>
      </c>
      <c r="C87" s="552" t="s">
        <v>630</v>
      </c>
      <c r="D87" s="552" t="s">
        <v>631</v>
      </c>
      <c r="E87" s="526" t="s">
        <v>632</v>
      </c>
      <c r="F87" s="521" t="s">
        <v>633</v>
      </c>
      <c r="G87" s="553">
        <v>950</v>
      </c>
      <c r="H87" s="498">
        <v>2010</v>
      </c>
      <c r="I87" s="498">
        <v>2265</v>
      </c>
      <c r="J87" s="498">
        <v>2010</v>
      </c>
      <c r="K87" s="498">
        <v>2010</v>
      </c>
      <c r="L87" s="498">
        <v>2265</v>
      </c>
      <c r="M87" s="515">
        <v>0.2</v>
      </c>
      <c r="N87" s="515">
        <v>0.08</v>
      </c>
      <c r="O87" s="554">
        <f>H87*M87</f>
        <v>402</v>
      </c>
      <c r="P87" s="554">
        <f>H87*N87</f>
        <v>160.80000000000001</v>
      </c>
      <c r="Q87" s="516">
        <v>0.06</v>
      </c>
      <c r="R87" s="516">
        <v>0.02</v>
      </c>
      <c r="S87" s="555">
        <f>Q87*I87</f>
        <v>135.9</v>
      </c>
      <c r="T87" s="555">
        <f>R87*I87</f>
        <v>45.300000000000004</v>
      </c>
      <c r="U87" s="534"/>
      <c r="V87" s="534"/>
      <c r="W87" s="517">
        <v>5.0000000000000001E-3</v>
      </c>
      <c r="X87" s="505"/>
      <c r="Y87" s="556">
        <f>W87*J87</f>
        <v>10.050000000000001</v>
      </c>
      <c r="Z87" s="505"/>
      <c r="AA87" s="513">
        <v>0.02</v>
      </c>
      <c r="AB87" s="513">
        <v>0.01</v>
      </c>
      <c r="AC87" s="557">
        <f>AA87*K87</f>
        <v>40.200000000000003</v>
      </c>
      <c r="AD87" s="557">
        <f>AB87*K87</f>
        <v>20.100000000000001</v>
      </c>
      <c r="AE87" s="518">
        <v>7.0000000000000001E-3</v>
      </c>
      <c r="AF87" s="514"/>
      <c r="AG87" s="558">
        <f>AE87*L87</f>
        <v>15.855</v>
      </c>
      <c r="AH87" s="514"/>
      <c r="AI87" s="559">
        <f>AG87+AC87+Y87+S87+O87</f>
        <v>604.005</v>
      </c>
      <c r="AJ87" s="559">
        <f>AD87+T87+P87</f>
        <v>226.20000000000002</v>
      </c>
      <c r="AK87" s="518"/>
      <c r="AL87" s="514"/>
      <c r="AM87" s="558">
        <f>AK87*R87</f>
        <v>0</v>
      </c>
      <c r="AN87" s="514"/>
    </row>
    <row r="88" spans="1:40" ht="21.75" customHeight="1">
      <c r="C88" s="560"/>
      <c r="D88" s="560"/>
      <c r="E88" s="497"/>
      <c r="F88" s="521"/>
      <c r="G88" s="523"/>
      <c r="H88" s="533"/>
      <c r="I88" s="533"/>
      <c r="J88" s="533"/>
      <c r="K88" s="533"/>
      <c r="L88" s="533"/>
      <c r="M88" s="515"/>
      <c r="N88" s="515"/>
      <c r="O88" s="561"/>
      <c r="P88" s="561"/>
      <c r="Q88" s="516"/>
      <c r="R88" s="516"/>
      <c r="S88" s="525"/>
      <c r="T88" s="525"/>
      <c r="U88" s="534"/>
      <c r="V88" s="534"/>
      <c r="W88" s="517"/>
      <c r="X88" s="505"/>
      <c r="Y88" s="505"/>
      <c r="Z88" s="505"/>
      <c r="AA88" s="513"/>
      <c r="AB88" s="513"/>
      <c r="AC88" s="562"/>
      <c r="AD88" s="562"/>
      <c r="AE88" s="518"/>
      <c r="AF88" s="514"/>
      <c r="AG88" s="514"/>
      <c r="AH88" s="514"/>
      <c r="AI88" s="563"/>
      <c r="AJ88" s="563"/>
      <c r="AK88" s="518"/>
      <c r="AL88" s="514"/>
      <c r="AM88" s="514"/>
      <c r="AN88" s="514"/>
    </row>
    <row r="89" spans="1:40" ht="21.75" customHeight="1">
      <c r="C89" s="497"/>
      <c r="D89" s="497"/>
      <c r="E89" s="497"/>
      <c r="F89" s="521"/>
      <c r="G89" s="523"/>
      <c r="H89" s="533"/>
      <c r="I89" s="533"/>
      <c r="J89" s="533"/>
      <c r="K89" s="533"/>
      <c r="L89" s="533"/>
      <c r="M89" s="515"/>
      <c r="N89" s="515"/>
      <c r="O89" s="561"/>
      <c r="P89" s="561"/>
      <c r="Q89" s="516"/>
      <c r="R89" s="516"/>
      <c r="S89" s="525"/>
      <c r="T89" s="525"/>
      <c r="U89" s="534"/>
      <c r="V89" s="534"/>
      <c r="W89" s="517"/>
      <c r="X89" s="505"/>
      <c r="Y89" s="505"/>
      <c r="Z89" s="505"/>
      <c r="AA89" s="513"/>
      <c r="AB89" s="513"/>
      <c r="AC89" s="562"/>
      <c r="AD89" s="562"/>
      <c r="AE89" s="518"/>
      <c r="AF89" s="514"/>
      <c r="AG89" s="514"/>
      <c r="AH89" s="514"/>
      <c r="AI89" s="563"/>
      <c r="AJ89" s="563"/>
      <c r="AK89" s="518"/>
      <c r="AL89" s="514"/>
      <c r="AM89" s="514"/>
      <c r="AN89" s="514"/>
    </row>
  </sheetData>
  <autoFilter ref="C5:W87"/>
  <mergeCells count="101">
    <mergeCell ref="AK2:AN2"/>
    <mergeCell ref="AK3:AL3"/>
    <mergeCell ref="AM3:AN3"/>
    <mergeCell ref="W3:X3"/>
    <mergeCell ref="Y3:Z3"/>
    <mergeCell ref="C1:L1"/>
    <mergeCell ref="C2:D2"/>
    <mergeCell ref="E2:E4"/>
    <mergeCell ref="F2:F4"/>
    <mergeCell ref="G2:G4"/>
    <mergeCell ref="H2:L2"/>
    <mergeCell ref="C3:C4"/>
    <mergeCell ref="D3:D4"/>
    <mergeCell ref="H3:H4"/>
    <mergeCell ref="I3:I4"/>
    <mergeCell ref="M2:P2"/>
    <mergeCell ref="Q2:T2"/>
    <mergeCell ref="W2:Z2"/>
    <mergeCell ref="AA2:AD2"/>
    <mergeCell ref="AE2:AH2"/>
    <mergeCell ref="AA3:AB3"/>
    <mergeCell ref="AC3:AD3"/>
    <mergeCell ref="AE3:AF3"/>
    <mergeCell ref="AG3:AH3"/>
    <mergeCell ref="Q3:R3"/>
    <mergeCell ref="S3:T3"/>
    <mergeCell ref="U3:V3"/>
    <mergeCell ref="C7:C8"/>
    <mergeCell ref="E7:E8"/>
    <mergeCell ref="F7:F8"/>
    <mergeCell ref="G7:G8"/>
    <mergeCell ref="C9:C10"/>
    <mergeCell ref="E9:E10"/>
    <mergeCell ref="F9:F10"/>
    <mergeCell ref="G9:G10"/>
    <mergeCell ref="C5:C6"/>
    <mergeCell ref="E5:E6"/>
    <mergeCell ref="F5:F6"/>
    <mergeCell ref="G5:G6"/>
    <mergeCell ref="J3:J4"/>
    <mergeCell ref="K3:K4"/>
    <mergeCell ref="L3:L4"/>
    <mergeCell ref="M3:N3"/>
    <mergeCell ref="O3:P3"/>
    <mergeCell ref="C25:C26"/>
    <mergeCell ref="E25:E26"/>
    <mergeCell ref="F25:F26"/>
    <mergeCell ref="G25:G26"/>
    <mergeCell ref="C27:C28"/>
    <mergeCell ref="E27:E28"/>
    <mergeCell ref="F27:F28"/>
    <mergeCell ref="G27:G28"/>
    <mergeCell ref="C29:C30"/>
    <mergeCell ref="E29:E30"/>
    <mergeCell ref="F29:F30"/>
    <mergeCell ref="G29:G30"/>
    <mergeCell ref="G31:G32"/>
    <mergeCell ref="C33:C34"/>
    <mergeCell ref="E33:E34"/>
    <mergeCell ref="F33:F34"/>
    <mergeCell ref="G33:G34"/>
    <mergeCell ref="C35:C36"/>
    <mergeCell ref="E35:E36"/>
    <mergeCell ref="F35:F36"/>
    <mergeCell ref="G35:G36"/>
    <mergeCell ref="C77:C79"/>
    <mergeCell ref="E77:E79"/>
    <mergeCell ref="F77:F79"/>
    <mergeCell ref="G77:G79"/>
    <mergeCell ref="C71:C72"/>
    <mergeCell ref="E71:E72"/>
    <mergeCell ref="F71:F72"/>
    <mergeCell ref="G71:G72"/>
    <mergeCell ref="C73:C74"/>
    <mergeCell ref="E73:E74"/>
    <mergeCell ref="F73:F74"/>
    <mergeCell ref="G73:G74"/>
    <mergeCell ref="AI2:AJ3"/>
    <mergeCell ref="C75:C76"/>
    <mergeCell ref="E75:E76"/>
    <mergeCell ref="F75:F76"/>
    <mergeCell ref="G75:G76"/>
    <mergeCell ref="C51:C52"/>
    <mergeCell ref="E51:E52"/>
    <mergeCell ref="F51:F52"/>
    <mergeCell ref="G51:G52"/>
    <mergeCell ref="C65:C66"/>
    <mergeCell ref="E65:E66"/>
    <mergeCell ref="F65:F66"/>
    <mergeCell ref="G65:G66"/>
    <mergeCell ref="C37:C38"/>
    <mergeCell ref="E37:E38"/>
    <mergeCell ref="F37:F38"/>
    <mergeCell ref="G37:G38"/>
    <mergeCell ref="C46:C47"/>
    <mergeCell ref="E46:E47"/>
    <mergeCell ref="F46:F47"/>
    <mergeCell ref="G46:G47"/>
    <mergeCell ref="C31:C32"/>
    <mergeCell ref="E31:E32"/>
    <mergeCell ref="F31:F32"/>
  </mergeCells>
  <phoneticPr fontId="3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374"/>
  <sheetViews>
    <sheetView topLeftCell="A65" zoomScale="85" zoomScaleNormal="85" workbookViewId="0">
      <pane xSplit="3" topLeftCell="D1" activePane="topRight" state="frozen"/>
      <selection pane="topRight" activeCell="G91" sqref="G91"/>
    </sheetView>
  </sheetViews>
  <sheetFormatPr defaultRowHeight="15"/>
  <cols>
    <col min="1" max="1" width="9" style="602" customWidth="1"/>
    <col min="2" max="3" width="9" style="603" customWidth="1"/>
    <col min="4" max="4" width="12.58203125" style="604" customWidth="1"/>
    <col min="5" max="5" width="12.58203125" style="605" customWidth="1"/>
    <col min="6" max="12" width="12.58203125" style="574" customWidth="1"/>
    <col min="13" max="256" width="8.75" style="574"/>
    <col min="257" max="259" width="9" style="574" customWidth="1"/>
    <col min="260" max="268" width="12.58203125" style="574" customWidth="1"/>
    <col min="269" max="512" width="8.75" style="574"/>
    <col min="513" max="515" width="9" style="574" customWidth="1"/>
    <col min="516" max="524" width="12.58203125" style="574" customWidth="1"/>
    <col min="525" max="768" width="8.75" style="574"/>
    <col min="769" max="771" width="9" style="574" customWidth="1"/>
    <col min="772" max="780" width="12.58203125" style="574" customWidth="1"/>
    <col min="781" max="1024" width="8.75" style="574"/>
    <col min="1025" max="1027" width="9" style="574" customWidth="1"/>
    <col min="1028" max="1036" width="12.58203125" style="574" customWidth="1"/>
    <col min="1037" max="1280" width="8.75" style="574"/>
    <col min="1281" max="1283" width="9" style="574" customWidth="1"/>
    <col min="1284" max="1292" width="12.58203125" style="574" customWidth="1"/>
    <col min="1293" max="1536" width="8.75" style="574"/>
    <col min="1537" max="1539" width="9" style="574" customWidth="1"/>
    <col min="1540" max="1548" width="12.58203125" style="574" customWidth="1"/>
    <col min="1549" max="1792" width="8.75" style="574"/>
    <col min="1793" max="1795" width="9" style="574" customWidth="1"/>
    <col min="1796" max="1804" width="12.58203125" style="574" customWidth="1"/>
    <col min="1805" max="2048" width="8.75" style="574"/>
    <col min="2049" max="2051" width="9" style="574" customWidth="1"/>
    <col min="2052" max="2060" width="12.58203125" style="574" customWidth="1"/>
    <col min="2061" max="2304" width="8.75" style="574"/>
    <col min="2305" max="2307" width="9" style="574" customWidth="1"/>
    <col min="2308" max="2316" width="12.58203125" style="574" customWidth="1"/>
    <col min="2317" max="2560" width="8.75" style="574"/>
    <col min="2561" max="2563" width="9" style="574" customWidth="1"/>
    <col min="2564" max="2572" width="12.58203125" style="574" customWidth="1"/>
    <col min="2573" max="2816" width="8.75" style="574"/>
    <col min="2817" max="2819" width="9" style="574" customWidth="1"/>
    <col min="2820" max="2828" width="12.58203125" style="574" customWidth="1"/>
    <col min="2829" max="3072" width="8.75" style="574"/>
    <col min="3073" max="3075" width="9" style="574" customWidth="1"/>
    <col min="3076" max="3084" width="12.58203125" style="574" customWidth="1"/>
    <col min="3085" max="3328" width="8.75" style="574"/>
    <col min="3329" max="3331" width="9" style="574" customWidth="1"/>
    <col min="3332" max="3340" width="12.58203125" style="574" customWidth="1"/>
    <col min="3341" max="3584" width="8.75" style="574"/>
    <col min="3585" max="3587" width="9" style="574" customWidth="1"/>
    <col min="3588" max="3596" width="12.58203125" style="574" customWidth="1"/>
    <col min="3597" max="3840" width="8.75" style="574"/>
    <col min="3841" max="3843" width="9" style="574" customWidth="1"/>
    <col min="3844" max="3852" width="12.58203125" style="574" customWidth="1"/>
    <col min="3853" max="4096" width="8.75" style="574"/>
    <col min="4097" max="4099" width="9" style="574" customWidth="1"/>
    <col min="4100" max="4108" width="12.58203125" style="574" customWidth="1"/>
    <col min="4109" max="4352" width="8.75" style="574"/>
    <col min="4353" max="4355" width="9" style="574" customWidth="1"/>
    <col min="4356" max="4364" width="12.58203125" style="574" customWidth="1"/>
    <col min="4365" max="4608" width="8.75" style="574"/>
    <col min="4609" max="4611" width="9" style="574" customWidth="1"/>
    <col min="4612" max="4620" width="12.58203125" style="574" customWidth="1"/>
    <col min="4621" max="4864" width="8.75" style="574"/>
    <col min="4865" max="4867" width="9" style="574" customWidth="1"/>
    <col min="4868" max="4876" width="12.58203125" style="574" customWidth="1"/>
    <col min="4877" max="5120" width="8.75" style="574"/>
    <col min="5121" max="5123" width="9" style="574" customWidth="1"/>
    <col min="5124" max="5132" width="12.58203125" style="574" customWidth="1"/>
    <col min="5133" max="5376" width="8.75" style="574"/>
    <col min="5377" max="5379" width="9" style="574" customWidth="1"/>
    <col min="5380" max="5388" width="12.58203125" style="574" customWidth="1"/>
    <col min="5389" max="5632" width="8.75" style="574"/>
    <col min="5633" max="5635" width="9" style="574" customWidth="1"/>
    <col min="5636" max="5644" width="12.58203125" style="574" customWidth="1"/>
    <col min="5645" max="5888" width="8.75" style="574"/>
    <col min="5889" max="5891" width="9" style="574" customWidth="1"/>
    <col min="5892" max="5900" width="12.58203125" style="574" customWidth="1"/>
    <col min="5901" max="6144" width="8.75" style="574"/>
    <col min="6145" max="6147" width="9" style="574" customWidth="1"/>
    <col min="6148" max="6156" width="12.58203125" style="574" customWidth="1"/>
    <col min="6157" max="6400" width="8.75" style="574"/>
    <col min="6401" max="6403" width="9" style="574" customWidth="1"/>
    <col min="6404" max="6412" width="12.58203125" style="574" customWidth="1"/>
    <col min="6413" max="6656" width="8.75" style="574"/>
    <col min="6657" max="6659" width="9" style="574" customWidth="1"/>
    <col min="6660" max="6668" width="12.58203125" style="574" customWidth="1"/>
    <col min="6669" max="6912" width="8.75" style="574"/>
    <col min="6913" max="6915" width="9" style="574" customWidth="1"/>
    <col min="6916" max="6924" width="12.58203125" style="574" customWidth="1"/>
    <col min="6925" max="7168" width="8.75" style="574"/>
    <col min="7169" max="7171" width="9" style="574" customWidth="1"/>
    <col min="7172" max="7180" width="12.58203125" style="574" customWidth="1"/>
    <col min="7181" max="7424" width="8.75" style="574"/>
    <col min="7425" max="7427" width="9" style="574" customWidth="1"/>
    <col min="7428" max="7436" width="12.58203125" style="574" customWidth="1"/>
    <col min="7437" max="7680" width="8.75" style="574"/>
    <col min="7681" max="7683" width="9" style="574" customWidth="1"/>
    <col min="7684" max="7692" width="12.58203125" style="574" customWidth="1"/>
    <col min="7693" max="7936" width="8.75" style="574"/>
    <col min="7937" max="7939" width="9" style="574" customWidth="1"/>
    <col min="7940" max="7948" width="12.58203125" style="574" customWidth="1"/>
    <col min="7949" max="8192" width="8.75" style="574"/>
    <col min="8193" max="8195" width="9" style="574" customWidth="1"/>
    <col min="8196" max="8204" width="12.58203125" style="574" customWidth="1"/>
    <col min="8205" max="8448" width="8.75" style="574"/>
    <col min="8449" max="8451" width="9" style="574" customWidth="1"/>
    <col min="8452" max="8460" width="12.58203125" style="574" customWidth="1"/>
    <col min="8461" max="8704" width="8.75" style="574"/>
    <col min="8705" max="8707" width="9" style="574" customWidth="1"/>
    <col min="8708" max="8716" width="12.58203125" style="574" customWidth="1"/>
    <col min="8717" max="8960" width="8.75" style="574"/>
    <col min="8961" max="8963" width="9" style="574" customWidth="1"/>
    <col min="8964" max="8972" width="12.58203125" style="574" customWidth="1"/>
    <col min="8973" max="9216" width="8.75" style="574"/>
    <col min="9217" max="9219" width="9" style="574" customWidth="1"/>
    <col min="9220" max="9228" width="12.58203125" style="574" customWidth="1"/>
    <col min="9229" max="9472" width="8.75" style="574"/>
    <col min="9473" max="9475" width="9" style="574" customWidth="1"/>
    <col min="9476" max="9484" width="12.58203125" style="574" customWidth="1"/>
    <col min="9485" max="9728" width="8.75" style="574"/>
    <col min="9729" max="9731" width="9" style="574" customWidth="1"/>
    <col min="9732" max="9740" width="12.58203125" style="574" customWidth="1"/>
    <col min="9741" max="9984" width="8.75" style="574"/>
    <col min="9985" max="9987" width="9" style="574" customWidth="1"/>
    <col min="9988" max="9996" width="12.58203125" style="574" customWidth="1"/>
    <col min="9997" max="10240" width="8.75" style="574"/>
    <col min="10241" max="10243" width="9" style="574" customWidth="1"/>
    <col min="10244" max="10252" width="12.58203125" style="574" customWidth="1"/>
    <col min="10253" max="10496" width="8.75" style="574"/>
    <col min="10497" max="10499" width="9" style="574" customWidth="1"/>
    <col min="10500" max="10508" width="12.58203125" style="574" customWidth="1"/>
    <col min="10509" max="10752" width="8.75" style="574"/>
    <col min="10753" max="10755" width="9" style="574" customWidth="1"/>
    <col min="10756" max="10764" width="12.58203125" style="574" customWidth="1"/>
    <col min="10765" max="11008" width="8.75" style="574"/>
    <col min="11009" max="11011" width="9" style="574" customWidth="1"/>
    <col min="11012" max="11020" width="12.58203125" style="574" customWidth="1"/>
    <col min="11021" max="11264" width="8.75" style="574"/>
    <col min="11265" max="11267" width="9" style="574" customWidth="1"/>
    <col min="11268" max="11276" width="12.58203125" style="574" customWidth="1"/>
    <col min="11277" max="11520" width="8.75" style="574"/>
    <col min="11521" max="11523" width="9" style="574" customWidth="1"/>
    <col min="11524" max="11532" width="12.58203125" style="574" customWidth="1"/>
    <col min="11533" max="11776" width="8.75" style="574"/>
    <col min="11777" max="11779" width="9" style="574" customWidth="1"/>
    <col min="11780" max="11788" width="12.58203125" style="574" customWidth="1"/>
    <col min="11789" max="12032" width="8.75" style="574"/>
    <col min="12033" max="12035" width="9" style="574" customWidth="1"/>
    <col min="12036" max="12044" width="12.58203125" style="574" customWidth="1"/>
    <col min="12045" max="12288" width="8.75" style="574"/>
    <col min="12289" max="12291" width="9" style="574" customWidth="1"/>
    <col min="12292" max="12300" width="12.58203125" style="574" customWidth="1"/>
    <col min="12301" max="12544" width="8.75" style="574"/>
    <col min="12545" max="12547" width="9" style="574" customWidth="1"/>
    <col min="12548" max="12556" width="12.58203125" style="574" customWidth="1"/>
    <col min="12557" max="12800" width="8.75" style="574"/>
    <col min="12801" max="12803" width="9" style="574" customWidth="1"/>
    <col min="12804" max="12812" width="12.58203125" style="574" customWidth="1"/>
    <col min="12813" max="13056" width="8.75" style="574"/>
    <col min="13057" max="13059" width="9" style="574" customWidth="1"/>
    <col min="13060" max="13068" width="12.58203125" style="574" customWidth="1"/>
    <col min="13069" max="13312" width="8.75" style="574"/>
    <col min="13313" max="13315" width="9" style="574" customWidth="1"/>
    <col min="13316" max="13324" width="12.58203125" style="574" customWidth="1"/>
    <col min="13325" max="13568" width="8.75" style="574"/>
    <col min="13569" max="13571" width="9" style="574" customWidth="1"/>
    <col min="13572" max="13580" width="12.58203125" style="574" customWidth="1"/>
    <col min="13581" max="13824" width="8.75" style="574"/>
    <col min="13825" max="13827" width="9" style="574" customWidth="1"/>
    <col min="13828" max="13836" width="12.58203125" style="574" customWidth="1"/>
    <col min="13837" max="14080" width="8.75" style="574"/>
    <col min="14081" max="14083" width="9" style="574" customWidth="1"/>
    <col min="14084" max="14092" width="12.58203125" style="574" customWidth="1"/>
    <col min="14093" max="14336" width="8.75" style="574"/>
    <col min="14337" max="14339" width="9" style="574" customWidth="1"/>
    <col min="14340" max="14348" width="12.58203125" style="574" customWidth="1"/>
    <col min="14349" max="14592" width="8.75" style="574"/>
    <col min="14593" max="14595" width="9" style="574" customWidth="1"/>
    <col min="14596" max="14604" width="12.58203125" style="574" customWidth="1"/>
    <col min="14605" max="14848" width="8.75" style="574"/>
    <col min="14849" max="14851" width="9" style="574" customWidth="1"/>
    <col min="14852" max="14860" width="12.58203125" style="574" customWidth="1"/>
    <col min="14861" max="15104" width="8.75" style="574"/>
    <col min="15105" max="15107" width="9" style="574" customWidth="1"/>
    <col min="15108" max="15116" width="12.58203125" style="574" customWidth="1"/>
    <col min="15117" max="15360" width="8.75" style="574"/>
    <col min="15361" max="15363" width="9" style="574" customWidth="1"/>
    <col min="15364" max="15372" width="12.58203125" style="574" customWidth="1"/>
    <col min="15373" max="15616" width="8.75" style="574"/>
    <col min="15617" max="15619" width="9" style="574" customWidth="1"/>
    <col min="15620" max="15628" width="12.58203125" style="574" customWidth="1"/>
    <col min="15629" max="15872" width="8.75" style="574"/>
    <col min="15873" max="15875" width="9" style="574" customWidth="1"/>
    <col min="15876" max="15884" width="12.58203125" style="574" customWidth="1"/>
    <col min="15885" max="16128" width="8.75" style="574"/>
    <col min="16129" max="16131" width="9" style="574" customWidth="1"/>
    <col min="16132" max="16140" width="12.58203125" style="574" customWidth="1"/>
    <col min="16141" max="16384" width="8.75" style="574"/>
  </cols>
  <sheetData>
    <row r="1" spans="1:12" ht="26">
      <c r="A1" s="570" t="s">
        <v>703</v>
      </c>
      <c r="B1" s="571" t="s">
        <v>704</v>
      </c>
      <c r="C1" s="571" t="s">
        <v>705</v>
      </c>
      <c r="D1" s="571" t="s">
        <v>706</v>
      </c>
      <c r="E1" s="572" t="s">
        <v>707</v>
      </c>
      <c r="F1" s="572" t="s">
        <v>708</v>
      </c>
      <c r="G1" s="571" t="s">
        <v>709</v>
      </c>
      <c r="H1" s="571" t="s">
        <v>710</v>
      </c>
      <c r="I1" s="571" t="s">
        <v>711</v>
      </c>
      <c r="J1" s="571" t="s">
        <v>712</v>
      </c>
      <c r="K1" s="571" t="s">
        <v>713</v>
      </c>
      <c r="L1" s="573" t="s">
        <v>714</v>
      </c>
    </row>
    <row r="2" spans="1:12">
      <c r="A2" s="800" t="s">
        <v>715</v>
      </c>
      <c r="B2" s="797" t="s">
        <v>716</v>
      </c>
      <c r="C2" s="798" t="s">
        <v>716</v>
      </c>
      <c r="D2" s="575" t="s">
        <v>455</v>
      </c>
      <c r="E2" s="576">
        <v>0.2</v>
      </c>
      <c r="F2" s="576">
        <v>0.08</v>
      </c>
      <c r="G2" s="575">
        <v>12603</v>
      </c>
      <c r="H2" s="575">
        <v>1680</v>
      </c>
      <c r="I2" s="575">
        <v>12603</v>
      </c>
      <c r="J2" s="575">
        <v>1680</v>
      </c>
      <c r="K2" s="797">
        <v>4201</v>
      </c>
      <c r="L2" s="577" t="s">
        <v>717</v>
      </c>
    </row>
    <row r="3" spans="1:12" ht="26">
      <c r="A3" s="800"/>
      <c r="B3" s="797"/>
      <c r="C3" s="798"/>
      <c r="D3" s="575" t="s">
        <v>456</v>
      </c>
      <c r="E3" s="576" t="s">
        <v>718</v>
      </c>
      <c r="F3" s="576" t="s">
        <v>719</v>
      </c>
      <c r="G3" s="575" t="s">
        <v>720</v>
      </c>
      <c r="H3" s="575" t="s">
        <v>721</v>
      </c>
      <c r="I3" s="575" t="s">
        <v>722</v>
      </c>
      <c r="J3" s="575" t="s">
        <v>723</v>
      </c>
      <c r="K3" s="797"/>
      <c r="L3" s="577" t="s">
        <v>717</v>
      </c>
    </row>
    <row r="4" spans="1:12" ht="39">
      <c r="A4" s="800"/>
      <c r="B4" s="797"/>
      <c r="C4" s="798"/>
      <c r="D4" s="575" t="s">
        <v>457</v>
      </c>
      <c r="E4" s="576" t="s">
        <v>724</v>
      </c>
      <c r="F4" s="576"/>
      <c r="G4" s="575" t="s">
        <v>725</v>
      </c>
      <c r="H4" s="575" t="s">
        <v>726</v>
      </c>
      <c r="I4" s="575"/>
      <c r="J4" s="575"/>
      <c r="K4" s="797"/>
      <c r="L4" s="577" t="s">
        <v>717</v>
      </c>
    </row>
    <row r="5" spans="1:12" ht="39">
      <c r="A5" s="800"/>
      <c r="B5" s="797"/>
      <c r="C5" s="798"/>
      <c r="D5" s="575" t="s">
        <v>72</v>
      </c>
      <c r="E5" s="576">
        <v>8.0000000000000002E-3</v>
      </c>
      <c r="F5" s="576"/>
      <c r="G5" s="575" t="s">
        <v>727</v>
      </c>
      <c r="H5" s="575" t="s">
        <v>728</v>
      </c>
      <c r="I5" s="575"/>
      <c r="J5" s="575"/>
      <c r="K5" s="797"/>
      <c r="L5" s="577" t="s">
        <v>717</v>
      </c>
    </row>
    <row r="6" spans="1:12" ht="26">
      <c r="A6" s="800"/>
      <c r="B6" s="797"/>
      <c r="C6" s="798"/>
      <c r="D6" s="575" t="s">
        <v>458</v>
      </c>
      <c r="E6" s="576">
        <v>0.01</v>
      </c>
      <c r="F6" s="576" t="s">
        <v>729</v>
      </c>
      <c r="G6" s="575">
        <v>12603</v>
      </c>
      <c r="H6" s="575">
        <v>1680</v>
      </c>
      <c r="I6" s="575">
        <v>12603</v>
      </c>
      <c r="J6" s="575">
        <v>1680</v>
      </c>
      <c r="K6" s="797"/>
      <c r="L6" s="577" t="s">
        <v>717</v>
      </c>
    </row>
    <row r="7" spans="1:12" ht="26">
      <c r="A7" s="800"/>
      <c r="B7" s="797"/>
      <c r="C7" s="798"/>
      <c r="D7" s="575" t="s">
        <v>702</v>
      </c>
      <c r="E7" s="576">
        <v>0.12</v>
      </c>
      <c r="F7" s="576">
        <v>0.12</v>
      </c>
      <c r="G7" s="575">
        <v>12603</v>
      </c>
      <c r="H7" s="575" t="s">
        <v>730</v>
      </c>
      <c r="I7" s="575">
        <v>12603</v>
      </c>
      <c r="J7" s="575" t="s">
        <v>731</v>
      </c>
      <c r="K7" s="797"/>
      <c r="L7" s="577" t="s">
        <v>732</v>
      </c>
    </row>
    <row r="8" spans="1:12">
      <c r="A8" s="800"/>
      <c r="B8" s="799" t="s">
        <v>733</v>
      </c>
      <c r="C8" s="797" t="s">
        <v>734</v>
      </c>
      <c r="D8" s="575" t="s">
        <v>455</v>
      </c>
      <c r="E8" s="576">
        <v>0.2</v>
      </c>
      <c r="F8" s="576">
        <v>0.08</v>
      </c>
      <c r="G8" s="575">
        <v>9380</v>
      </c>
      <c r="H8" s="575">
        <v>1720</v>
      </c>
      <c r="I8" s="575">
        <v>9380</v>
      </c>
      <c r="J8" s="575">
        <v>1720</v>
      </c>
      <c r="K8" s="797">
        <v>3128</v>
      </c>
      <c r="L8" s="577" t="s">
        <v>735</v>
      </c>
    </row>
    <row r="9" spans="1:12">
      <c r="A9" s="800"/>
      <c r="B9" s="799"/>
      <c r="C9" s="797"/>
      <c r="D9" s="575" t="s">
        <v>456</v>
      </c>
      <c r="E9" s="576">
        <v>0.1</v>
      </c>
      <c r="F9" s="576">
        <v>0.02</v>
      </c>
      <c r="G9" s="575">
        <v>9380</v>
      </c>
      <c r="H9" s="575">
        <v>1720</v>
      </c>
      <c r="I9" s="575">
        <v>9380</v>
      </c>
      <c r="J9" s="575">
        <v>1720</v>
      </c>
      <c r="K9" s="797"/>
      <c r="L9" s="577" t="s">
        <v>735</v>
      </c>
    </row>
    <row r="10" spans="1:12">
      <c r="A10" s="800"/>
      <c r="B10" s="799"/>
      <c r="C10" s="797"/>
      <c r="D10" s="575" t="s">
        <v>457</v>
      </c>
      <c r="E10" s="576">
        <v>5.0000000000000001E-3</v>
      </c>
      <c r="F10" s="576"/>
      <c r="G10" s="575">
        <v>9380</v>
      </c>
      <c r="H10" s="575">
        <v>1720</v>
      </c>
      <c r="I10" s="575"/>
      <c r="J10" s="575"/>
      <c r="K10" s="797"/>
      <c r="L10" s="577" t="s">
        <v>735</v>
      </c>
    </row>
    <row r="11" spans="1:12">
      <c r="A11" s="800"/>
      <c r="B11" s="799"/>
      <c r="C11" s="797"/>
      <c r="D11" s="575" t="s">
        <v>72</v>
      </c>
      <c r="E11" s="576">
        <v>8.0000000000000002E-3</v>
      </c>
      <c r="F11" s="576"/>
      <c r="G11" s="575">
        <v>9380</v>
      </c>
      <c r="H11" s="575">
        <v>1720</v>
      </c>
      <c r="I11" s="575"/>
      <c r="J11" s="575"/>
      <c r="K11" s="797"/>
      <c r="L11" s="577" t="s">
        <v>735</v>
      </c>
    </row>
    <row r="12" spans="1:12" ht="26">
      <c r="A12" s="800"/>
      <c r="B12" s="799"/>
      <c r="C12" s="797"/>
      <c r="D12" s="575" t="s">
        <v>458</v>
      </c>
      <c r="E12" s="576">
        <v>0.02</v>
      </c>
      <c r="F12" s="576" t="s">
        <v>736</v>
      </c>
      <c r="G12" s="575">
        <v>9380</v>
      </c>
      <c r="H12" s="575">
        <v>1720</v>
      </c>
      <c r="I12" s="575">
        <v>9380</v>
      </c>
      <c r="J12" s="575">
        <v>1720</v>
      </c>
      <c r="K12" s="797"/>
      <c r="L12" s="577" t="s">
        <v>735</v>
      </c>
    </row>
    <row r="13" spans="1:12">
      <c r="A13" s="800"/>
      <c r="B13" s="799"/>
      <c r="C13" s="797"/>
      <c r="D13" s="575" t="s">
        <v>702</v>
      </c>
      <c r="E13" s="576">
        <v>0.11</v>
      </c>
      <c r="F13" s="576">
        <v>0.11</v>
      </c>
      <c r="G13" s="575">
        <v>12897</v>
      </c>
      <c r="H13" s="575">
        <v>1160</v>
      </c>
      <c r="I13" s="575">
        <v>12897</v>
      </c>
      <c r="J13" s="575">
        <v>1160</v>
      </c>
      <c r="K13" s="797"/>
      <c r="L13" s="577" t="s">
        <v>737</v>
      </c>
    </row>
    <row r="14" spans="1:12">
      <c r="A14" s="800"/>
      <c r="B14" s="797" t="s">
        <v>738</v>
      </c>
      <c r="C14" s="797" t="s">
        <v>621</v>
      </c>
      <c r="D14" s="575" t="s">
        <v>455</v>
      </c>
      <c r="E14" s="578">
        <v>0.2</v>
      </c>
      <c r="F14" s="578">
        <v>0.08</v>
      </c>
      <c r="G14" s="579" t="s">
        <v>739</v>
      </c>
      <c r="H14" s="579">
        <v>1615.3</v>
      </c>
      <c r="I14" s="579">
        <v>8076.5</v>
      </c>
      <c r="J14" s="579">
        <v>1615.3</v>
      </c>
      <c r="K14" s="797">
        <v>2962.17</v>
      </c>
      <c r="L14" s="577" t="s">
        <v>740</v>
      </c>
    </row>
    <row r="15" spans="1:12">
      <c r="A15" s="800"/>
      <c r="B15" s="797"/>
      <c r="C15" s="797"/>
      <c r="D15" s="575" t="s">
        <v>456</v>
      </c>
      <c r="E15" s="578">
        <v>0.08</v>
      </c>
      <c r="F15" s="578">
        <v>0.02</v>
      </c>
      <c r="G15" s="579" t="s">
        <v>741</v>
      </c>
      <c r="H15" s="579">
        <v>2622</v>
      </c>
      <c r="I15" s="579" t="s">
        <v>741</v>
      </c>
      <c r="J15" s="579">
        <v>2622</v>
      </c>
      <c r="K15" s="797"/>
      <c r="L15" s="577" t="s">
        <v>740</v>
      </c>
    </row>
    <row r="16" spans="1:12">
      <c r="A16" s="800"/>
      <c r="B16" s="797"/>
      <c r="C16" s="797"/>
      <c r="D16" s="575" t="s">
        <v>457</v>
      </c>
      <c r="E16" s="578">
        <v>0.01</v>
      </c>
      <c r="F16" s="578"/>
      <c r="G16" s="579">
        <v>7866</v>
      </c>
      <c r="H16" s="579">
        <v>1573</v>
      </c>
      <c r="I16" s="579">
        <v>7866</v>
      </c>
      <c r="J16" s="579">
        <v>1573</v>
      </c>
      <c r="K16" s="797"/>
      <c r="L16" s="577" t="s">
        <v>740</v>
      </c>
    </row>
    <row r="17" spans="1:12">
      <c r="A17" s="800"/>
      <c r="B17" s="797"/>
      <c r="C17" s="797"/>
      <c r="D17" s="575" t="s">
        <v>72</v>
      </c>
      <c r="E17" s="578">
        <v>8.0000000000000002E-3</v>
      </c>
      <c r="F17" s="578"/>
      <c r="G17" s="579" t="s">
        <v>741</v>
      </c>
      <c r="H17" s="579">
        <v>2622</v>
      </c>
      <c r="I17" s="579" t="s">
        <v>742</v>
      </c>
      <c r="J17" s="579">
        <v>2622</v>
      </c>
      <c r="K17" s="797"/>
      <c r="L17" s="577" t="s">
        <v>740</v>
      </c>
    </row>
    <row r="18" spans="1:12">
      <c r="A18" s="800"/>
      <c r="B18" s="797"/>
      <c r="C18" s="797"/>
      <c r="D18" s="575" t="s">
        <v>458</v>
      </c>
      <c r="E18" s="578">
        <v>0.02</v>
      </c>
      <c r="F18" s="578">
        <v>0.01</v>
      </c>
      <c r="G18" s="579" t="s">
        <v>743</v>
      </c>
      <c r="H18" s="579">
        <v>1573</v>
      </c>
      <c r="I18" s="579">
        <v>7866</v>
      </c>
      <c r="J18" s="579">
        <v>1573</v>
      </c>
      <c r="K18" s="797"/>
      <c r="L18" s="577" t="s">
        <v>740</v>
      </c>
    </row>
    <row r="19" spans="1:12">
      <c r="A19" s="800"/>
      <c r="B19" s="797"/>
      <c r="C19" s="797"/>
      <c r="D19" s="575" t="s">
        <v>702</v>
      </c>
      <c r="E19" s="578">
        <v>0.11</v>
      </c>
      <c r="F19" s="578">
        <v>7.0000000000000007E-2</v>
      </c>
      <c r="G19" s="579">
        <v>8886</v>
      </c>
      <c r="H19" s="579">
        <v>900</v>
      </c>
      <c r="I19" s="579">
        <v>8886</v>
      </c>
      <c r="J19" s="579">
        <v>900</v>
      </c>
      <c r="K19" s="797"/>
      <c r="L19" s="577" t="s">
        <v>737</v>
      </c>
    </row>
    <row r="20" spans="1:12">
      <c r="A20" s="800"/>
      <c r="B20" s="797" t="s">
        <v>744</v>
      </c>
      <c r="C20" s="798" t="s">
        <v>745</v>
      </c>
      <c r="D20" s="575" t="s">
        <v>455</v>
      </c>
      <c r="E20" s="578">
        <v>0.2</v>
      </c>
      <c r="F20" s="578">
        <v>0.08</v>
      </c>
      <c r="G20" s="579">
        <v>8195</v>
      </c>
      <c r="H20" s="579">
        <v>1639</v>
      </c>
      <c r="I20" s="579">
        <v>8195</v>
      </c>
      <c r="J20" s="579">
        <v>1639</v>
      </c>
      <c r="K20" s="799">
        <v>2731.58</v>
      </c>
      <c r="L20" s="577" t="s">
        <v>737</v>
      </c>
    </row>
    <row r="21" spans="1:12">
      <c r="A21" s="800"/>
      <c r="B21" s="797"/>
      <c r="C21" s="798"/>
      <c r="D21" s="575" t="s">
        <v>456</v>
      </c>
      <c r="E21" s="578">
        <v>0.08</v>
      </c>
      <c r="F21" s="578">
        <v>0.02</v>
      </c>
      <c r="G21" s="579">
        <v>8195</v>
      </c>
      <c r="H21" s="579">
        <v>1639</v>
      </c>
      <c r="I21" s="579">
        <v>8195</v>
      </c>
      <c r="J21" s="579">
        <v>1639</v>
      </c>
      <c r="K21" s="799"/>
      <c r="L21" s="577" t="s">
        <v>737</v>
      </c>
    </row>
    <row r="22" spans="1:12">
      <c r="A22" s="800"/>
      <c r="B22" s="797"/>
      <c r="C22" s="798"/>
      <c r="D22" s="575" t="s">
        <v>457</v>
      </c>
      <c r="E22" s="578">
        <v>5.0000000000000001E-3</v>
      </c>
      <c r="F22" s="578"/>
      <c r="G22" s="579">
        <v>8195</v>
      </c>
      <c r="H22" s="579">
        <v>1639</v>
      </c>
      <c r="I22" s="579"/>
      <c r="J22" s="579"/>
      <c r="K22" s="799"/>
      <c r="L22" s="577" t="s">
        <v>737</v>
      </c>
    </row>
    <row r="23" spans="1:12">
      <c r="A23" s="800"/>
      <c r="B23" s="797"/>
      <c r="C23" s="798"/>
      <c r="D23" s="575" t="s">
        <v>72</v>
      </c>
      <c r="E23" s="578">
        <v>0.01</v>
      </c>
      <c r="F23" s="578"/>
      <c r="G23" s="579">
        <v>8195</v>
      </c>
      <c r="H23" s="579">
        <v>1639</v>
      </c>
      <c r="I23" s="579"/>
      <c r="J23" s="579"/>
      <c r="K23" s="799"/>
      <c r="L23" s="577" t="s">
        <v>737</v>
      </c>
    </row>
    <row r="24" spans="1:12">
      <c r="A24" s="800"/>
      <c r="B24" s="797"/>
      <c r="C24" s="798"/>
      <c r="D24" s="575" t="s">
        <v>458</v>
      </c>
      <c r="E24" s="578">
        <v>0.02</v>
      </c>
      <c r="F24" s="578">
        <v>0.01</v>
      </c>
      <c r="G24" s="579" t="s">
        <v>746</v>
      </c>
      <c r="H24" s="579">
        <v>1639</v>
      </c>
      <c r="I24" s="579" t="s">
        <v>746</v>
      </c>
      <c r="J24" s="579">
        <v>1639</v>
      </c>
      <c r="K24" s="799"/>
      <c r="L24" s="577" t="s">
        <v>737</v>
      </c>
    </row>
    <row r="25" spans="1:12">
      <c r="A25" s="800"/>
      <c r="B25" s="797"/>
      <c r="C25" s="798"/>
      <c r="D25" s="575" t="s">
        <v>702</v>
      </c>
      <c r="E25" s="578">
        <v>0.1</v>
      </c>
      <c r="F25" s="578">
        <v>0.1</v>
      </c>
      <c r="G25" s="579">
        <v>8195</v>
      </c>
      <c r="H25" s="579">
        <v>800</v>
      </c>
      <c r="I25" s="579">
        <v>8195</v>
      </c>
      <c r="J25" s="579">
        <v>800</v>
      </c>
      <c r="K25" s="799"/>
      <c r="L25" s="577" t="s">
        <v>737</v>
      </c>
    </row>
    <row r="26" spans="1:12">
      <c r="A26" s="800"/>
      <c r="B26" s="799" t="s">
        <v>747</v>
      </c>
      <c r="C26" s="798" t="s">
        <v>748</v>
      </c>
      <c r="D26" s="575" t="s">
        <v>455</v>
      </c>
      <c r="E26" s="576">
        <v>0.2</v>
      </c>
      <c r="F26" s="576">
        <v>0.08</v>
      </c>
      <c r="G26" s="575">
        <v>8386</v>
      </c>
      <c r="H26" s="575">
        <v>1667</v>
      </c>
      <c r="I26" s="575">
        <v>8386</v>
      </c>
      <c r="J26" s="575">
        <v>1667</v>
      </c>
      <c r="K26" s="797">
        <v>2795</v>
      </c>
      <c r="L26" s="577" t="s">
        <v>735</v>
      </c>
    </row>
    <row r="27" spans="1:12">
      <c r="A27" s="800"/>
      <c r="B27" s="799"/>
      <c r="C27" s="798"/>
      <c r="D27" s="575" t="s">
        <v>456</v>
      </c>
      <c r="E27" s="576">
        <v>7.0000000000000007E-2</v>
      </c>
      <c r="F27" s="576">
        <v>0.02</v>
      </c>
      <c r="G27" s="575">
        <v>8386</v>
      </c>
      <c r="H27" s="575">
        <v>1667</v>
      </c>
      <c r="I27" s="575">
        <v>8386</v>
      </c>
      <c r="J27" s="575">
        <v>1667</v>
      </c>
      <c r="K27" s="797"/>
      <c r="L27" s="577" t="s">
        <v>735</v>
      </c>
    </row>
    <row r="28" spans="1:12">
      <c r="A28" s="800"/>
      <c r="B28" s="799"/>
      <c r="C28" s="798"/>
      <c r="D28" s="575" t="s">
        <v>457</v>
      </c>
      <c r="E28" s="576">
        <v>6.0000000000000001E-3</v>
      </c>
      <c r="F28" s="576"/>
      <c r="G28" s="575">
        <v>8386</v>
      </c>
      <c r="H28" s="575">
        <v>1667</v>
      </c>
      <c r="I28" s="575"/>
      <c r="J28" s="575"/>
      <c r="K28" s="797"/>
      <c r="L28" s="577" t="s">
        <v>732</v>
      </c>
    </row>
    <row r="29" spans="1:12">
      <c r="A29" s="800"/>
      <c r="B29" s="799"/>
      <c r="C29" s="798"/>
      <c r="D29" s="575" t="s">
        <v>72</v>
      </c>
      <c r="E29" s="576">
        <v>5.0000000000000001E-3</v>
      </c>
      <c r="F29" s="576"/>
      <c r="G29" s="575">
        <v>8386</v>
      </c>
      <c r="H29" s="575">
        <v>1667</v>
      </c>
      <c r="I29" s="575"/>
      <c r="J29" s="575"/>
      <c r="K29" s="797"/>
      <c r="L29" s="577" t="s">
        <v>735</v>
      </c>
    </row>
    <row r="30" spans="1:12">
      <c r="A30" s="800"/>
      <c r="B30" s="799"/>
      <c r="C30" s="798"/>
      <c r="D30" s="575" t="s">
        <v>458</v>
      </c>
      <c r="E30" s="576">
        <v>0.02</v>
      </c>
      <c r="F30" s="576">
        <v>0.01</v>
      </c>
      <c r="G30" s="575">
        <v>8386</v>
      </c>
      <c r="H30" s="575">
        <v>1667</v>
      </c>
      <c r="I30" s="575">
        <v>8386</v>
      </c>
      <c r="J30" s="575">
        <v>1667</v>
      </c>
      <c r="K30" s="797"/>
      <c r="L30" s="577" t="s">
        <v>732</v>
      </c>
    </row>
    <row r="31" spans="1:12">
      <c r="A31" s="800"/>
      <c r="B31" s="799"/>
      <c r="C31" s="798"/>
      <c r="D31" s="575" t="s">
        <v>702</v>
      </c>
      <c r="E31" s="576">
        <v>0.1</v>
      </c>
      <c r="F31" s="576">
        <v>0.06</v>
      </c>
      <c r="G31" s="575">
        <v>9711</v>
      </c>
      <c r="H31" s="575">
        <v>980</v>
      </c>
      <c r="I31" s="575">
        <v>9711</v>
      </c>
      <c r="J31" s="575">
        <v>980</v>
      </c>
      <c r="K31" s="797"/>
      <c r="L31" s="577" t="s">
        <v>737</v>
      </c>
    </row>
    <row r="32" spans="1:12">
      <c r="A32" s="800"/>
      <c r="B32" s="799" t="s">
        <v>749</v>
      </c>
      <c r="C32" s="799" t="s">
        <v>750</v>
      </c>
      <c r="D32" s="575" t="s">
        <v>455</v>
      </c>
      <c r="E32" s="576">
        <v>0.2</v>
      </c>
      <c r="F32" s="576">
        <v>0.08</v>
      </c>
      <c r="G32" s="575">
        <v>7776</v>
      </c>
      <c r="H32" s="575">
        <v>1556</v>
      </c>
      <c r="I32" s="575">
        <v>7776</v>
      </c>
      <c r="J32" s="575">
        <v>1556</v>
      </c>
      <c r="K32" s="797">
        <v>2592</v>
      </c>
      <c r="L32" s="577" t="s">
        <v>751</v>
      </c>
    </row>
    <row r="33" spans="1:12">
      <c r="A33" s="800"/>
      <c r="B33" s="799"/>
      <c r="C33" s="799"/>
      <c r="D33" s="575" t="s">
        <v>456</v>
      </c>
      <c r="E33" s="576">
        <v>0.08</v>
      </c>
      <c r="F33" s="576">
        <v>0.02</v>
      </c>
      <c r="G33" s="575">
        <v>7776</v>
      </c>
      <c r="H33" s="575">
        <v>1556</v>
      </c>
      <c r="I33" s="575">
        <v>7776</v>
      </c>
      <c r="J33" s="575">
        <v>1556</v>
      </c>
      <c r="K33" s="797"/>
      <c r="L33" s="577" t="s">
        <v>751</v>
      </c>
    </row>
    <row r="34" spans="1:12">
      <c r="A34" s="800"/>
      <c r="B34" s="799"/>
      <c r="C34" s="799"/>
      <c r="D34" s="575" t="s">
        <v>457</v>
      </c>
      <c r="E34" s="576">
        <v>5.0000000000000001E-3</v>
      </c>
      <c r="F34" s="576"/>
      <c r="G34" s="575">
        <v>7776</v>
      </c>
      <c r="H34" s="575">
        <v>1556</v>
      </c>
      <c r="I34" s="575"/>
      <c r="J34" s="575"/>
      <c r="K34" s="797"/>
      <c r="L34" s="577" t="s">
        <v>751</v>
      </c>
    </row>
    <row r="35" spans="1:12">
      <c r="A35" s="800"/>
      <c r="B35" s="799"/>
      <c r="C35" s="799"/>
      <c r="D35" s="575" t="s">
        <v>72</v>
      </c>
      <c r="E35" s="576">
        <v>0.02</v>
      </c>
      <c r="F35" s="576">
        <v>0.01</v>
      </c>
      <c r="G35" s="575">
        <v>7776</v>
      </c>
      <c r="H35" s="575">
        <v>1556</v>
      </c>
      <c r="I35" s="575">
        <v>7776</v>
      </c>
      <c r="J35" s="575">
        <v>1556</v>
      </c>
      <c r="K35" s="797"/>
      <c r="L35" s="577" t="s">
        <v>751</v>
      </c>
    </row>
    <row r="36" spans="1:12">
      <c r="A36" s="800"/>
      <c r="B36" s="799"/>
      <c r="C36" s="799"/>
      <c r="D36" s="575" t="s">
        <v>458</v>
      </c>
      <c r="E36" s="576">
        <v>8.0000000000000002E-3</v>
      </c>
      <c r="F36" s="576"/>
      <c r="G36" s="575">
        <v>7776</v>
      </c>
      <c r="H36" s="575">
        <v>1556</v>
      </c>
      <c r="I36" s="575"/>
      <c r="J36" s="575"/>
      <c r="K36" s="797"/>
      <c r="L36" s="577" t="s">
        <v>751</v>
      </c>
    </row>
    <row r="37" spans="1:12">
      <c r="A37" s="800"/>
      <c r="B37" s="799"/>
      <c r="C37" s="799"/>
      <c r="D37" s="575" t="s">
        <v>702</v>
      </c>
      <c r="E37" s="576">
        <v>7.0000000000000007E-2</v>
      </c>
      <c r="F37" s="576">
        <v>7.0000000000000007E-2</v>
      </c>
      <c r="G37" s="575">
        <v>12757</v>
      </c>
      <c r="H37" s="575">
        <v>1100</v>
      </c>
      <c r="I37" s="575">
        <v>12757</v>
      </c>
      <c r="J37" s="575">
        <v>1100</v>
      </c>
      <c r="K37" s="797"/>
      <c r="L37" s="577" t="s">
        <v>752</v>
      </c>
    </row>
    <row r="38" spans="1:12" ht="26">
      <c r="A38" s="800"/>
      <c r="B38" s="799"/>
      <c r="C38" s="798" t="s">
        <v>753</v>
      </c>
      <c r="D38" s="575" t="s">
        <v>455</v>
      </c>
      <c r="E38" s="576">
        <v>0.2</v>
      </c>
      <c r="F38" s="576">
        <v>0.08</v>
      </c>
      <c r="G38" s="575" t="s">
        <v>754</v>
      </c>
      <c r="H38" s="575">
        <v>1427</v>
      </c>
      <c r="I38" s="575">
        <v>7137</v>
      </c>
      <c r="J38" s="575">
        <v>1427</v>
      </c>
      <c r="K38" s="797">
        <v>2379</v>
      </c>
      <c r="L38" s="577" t="s">
        <v>755</v>
      </c>
    </row>
    <row r="39" spans="1:12" ht="26">
      <c r="A39" s="800"/>
      <c r="B39" s="799"/>
      <c r="C39" s="798"/>
      <c r="D39" s="575" t="s">
        <v>456</v>
      </c>
      <c r="E39" s="576">
        <v>0.09</v>
      </c>
      <c r="F39" s="576">
        <v>0.02</v>
      </c>
      <c r="G39" s="575" t="s">
        <v>754</v>
      </c>
      <c r="H39" s="575">
        <v>1427</v>
      </c>
      <c r="I39" s="575">
        <v>7137</v>
      </c>
      <c r="J39" s="575">
        <v>1427</v>
      </c>
      <c r="K39" s="797"/>
      <c r="L39" s="577" t="s">
        <v>755</v>
      </c>
    </row>
    <row r="40" spans="1:12" ht="26">
      <c r="A40" s="800"/>
      <c r="B40" s="799"/>
      <c r="C40" s="798"/>
      <c r="D40" s="575" t="s">
        <v>457</v>
      </c>
      <c r="E40" s="576">
        <v>5.0000000000000001E-3</v>
      </c>
      <c r="F40" s="576"/>
      <c r="G40" s="575" t="s">
        <v>754</v>
      </c>
      <c r="H40" s="575">
        <v>1427</v>
      </c>
      <c r="I40" s="575"/>
      <c r="J40" s="575"/>
      <c r="K40" s="797"/>
      <c r="L40" s="577" t="s">
        <v>755</v>
      </c>
    </row>
    <row r="41" spans="1:12" ht="26">
      <c r="A41" s="800"/>
      <c r="B41" s="799"/>
      <c r="C41" s="798"/>
      <c r="D41" s="575" t="s">
        <v>72</v>
      </c>
      <c r="E41" s="576">
        <v>0.01</v>
      </c>
      <c r="F41" s="576"/>
      <c r="G41" s="575" t="s">
        <v>754</v>
      </c>
      <c r="H41" s="575">
        <v>1427</v>
      </c>
      <c r="I41" s="575"/>
      <c r="J41" s="575"/>
      <c r="K41" s="797"/>
      <c r="L41" s="577" t="s">
        <v>755</v>
      </c>
    </row>
    <row r="42" spans="1:12" ht="26">
      <c r="A42" s="800"/>
      <c r="B42" s="799"/>
      <c r="C42" s="798"/>
      <c r="D42" s="575" t="s">
        <v>458</v>
      </c>
      <c r="E42" s="576">
        <v>0.02</v>
      </c>
      <c r="F42" s="576" t="s">
        <v>756</v>
      </c>
      <c r="G42" s="575" t="s">
        <v>754</v>
      </c>
      <c r="H42" s="575">
        <v>1427</v>
      </c>
      <c r="I42" s="575">
        <v>7137</v>
      </c>
      <c r="J42" s="575">
        <v>1427</v>
      </c>
      <c r="K42" s="797"/>
      <c r="L42" s="577" t="s">
        <v>755</v>
      </c>
    </row>
    <row r="43" spans="1:12">
      <c r="A43" s="800"/>
      <c r="B43" s="799"/>
      <c r="C43" s="798"/>
      <c r="D43" s="575" t="s">
        <v>702</v>
      </c>
      <c r="E43" s="576">
        <v>0.1</v>
      </c>
      <c r="F43" s="576">
        <v>0.1</v>
      </c>
      <c r="G43" s="575">
        <v>11895</v>
      </c>
      <c r="H43" s="575">
        <v>760</v>
      </c>
      <c r="I43" s="575">
        <v>11895</v>
      </c>
      <c r="J43" s="575">
        <v>760</v>
      </c>
      <c r="K43" s="797"/>
      <c r="L43" s="577" t="s">
        <v>737</v>
      </c>
    </row>
    <row r="44" spans="1:12">
      <c r="A44" s="800"/>
      <c r="B44" s="799" t="s">
        <v>757</v>
      </c>
      <c r="C44" s="798" t="s">
        <v>758</v>
      </c>
      <c r="D44" s="575" t="s">
        <v>455</v>
      </c>
      <c r="E44" s="576">
        <v>0.2</v>
      </c>
      <c r="F44" s="576">
        <v>0.08</v>
      </c>
      <c r="G44" s="575">
        <v>11154</v>
      </c>
      <c r="H44" s="575">
        <v>2231</v>
      </c>
      <c r="I44" s="575">
        <v>11154</v>
      </c>
      <c r="J44" s="575">
        <v>2231</v>
      </c>
      <c r="K44" s="797">
        <v>3718</v>
      </c>
      <c r="L44" s="577" t="s">
        <v>737</v>
      </c>
    </row>
    <row r="45" spans="1:12">
      <c r="A45" s="800"/>
      <c r="B45" s="799"/>
      <c r="C45" s="798"/>
      <c r="D45" s="575" t="s">
        <v>456</v>
      </c>
      <c r="E45" s="576">
        <v>0.08</v>
      </c>
      <c r="F45" s="576">
        <v>0.02</v>
      </c>
      <c r="G45" s="575">
        <v>11154</v>
      </c>
      <c r="H45" s="575">
        <v>2231</v>
      </c>
      <c r="I45" s="575">
        <v>11154</v>
      </c>
      <c r="J45" s="575">
        <v>2231</v>
      </c>
      <c r="K45" s="797"/>
      <c r="L45" s="577" t="s">
        <v>737</v>
      </c>
    </row>
    <row r="46" spans="1:12">
      <c r="A46" s="800"/>
      <c r="B46" s="799"/>
      <c r="C46" s="798"/>
      <c r="D46" s="575" t="s">
        <v>457</v>
      </c>
      <c r="E46" s="576">
        <v>6.0000000000000001E-3</v>
      </c>
      <c r="F46" s="576"/>
      <c r="G46" s="575">
        <v>11154</v>
      </c>
      <c r="H46" s="575">
        <v>2231</v>
      </c>
      <c r="I46" s="575"/>
      <c r="J46" s="575"/>
      <c r="K46" s="797"/>
      <c r="L46" s="577" t="s">
        <v>737</v>
      </c>
    </row>
    <row r="47" spans="1:12">
      <c r="A47" s="800"/>
      <c r="B47" s="799"/>
      <c r="C47" s="798"/>
      <c r="D47" s="575" t="s">
        <v>72</v>
      </c>
      <c r="E47" s="576">
        <v>8.0000000000000002E-3</v>
      </c>
      <c r="F47" s="576"/>
      <c r="G47" s="575">
        <v>11154</v>
      </c>
      <c r="H47" s="575">
        <v>2231</v>
      </c>
      <c r="I47" s="575"/>
      <c r="J47" s="575"/>
      <c r="K47" s="797"/>
      <c r="L47" s="577" t="s">
        <v>737</v>
      </c>
    </row>
    <row r="48" spans="1:12">
      <c r="A48" s="800"/>
      <c r="B48" s="799"/>
      <c r="C48" s="798"/>
      <c r="D48" s="575" t="s">
        <v>458</v>
      </c>
      <c r="E48" s="576">
        <v>0.02</v>
      </c>
      <c r="F48" s="576">
        <v>0.01</v>
      </c>
      <c r="G48" s="575">
        <v>11154</v>
      </c>
      <c r="H48" s="575">
        <v>2231</v>
      </c>
      <c r="I48" s="575">
        <v>11154</v>
      </c>
      <c r="J48" s="575">
        <v>2231</v>
      </c>
      <c r="K48" s="797"/>
      <c r="L48" s="577" t="s">
        <v>737</v>
      </c>
    </row>
    <row r="49" spans="1:12">
      <c r="A49" s="800"/>
      <c r="B49" s="799"/>
      <c r="C49" s="798"/>
      <c r="D49" s="575" t="s">
        <v>702</v>
      </c>
      <c r="E49" s="576" t="s">
        <v>759</v>
      </c>
      <c r="F49" s="576" t="s">
        <v>760</v>
      </c>
      <c r="G49" s="575">
        <v>18590</v>
      </c>
      <c r="H49" s="575">
        <v>1100</v>
      </c>
      <c r="I49" s="575">
        <v>18590</v>
      </c>
      <c r="J49" s="575">
        <v>1100</v>
      </c>
      <c r="K49" s="797"/>
      <c r="L49" s="577" t="s">
        <v>737</v>
      </c>
    </row>
    <row r="50" spans="1:12">
      <c r="A50" s="800"/>
      <c r="B50" s="801"/>
      <c r="C50" s="798" t="s">
        <v>761</v>
      </c>
      <c r="D50" s="575" t="s">
        <v>455</v>
      </c>
      <c r="E50" s="576">
        <v>0.2</v>
      </c>
      <c r="F50" s="576">
        <v>0.08</v>
      </c>
      <c r="G50" s="575">
        <v>11154</v>
      </c>
      <c r="H50" s="575">
        <v>2231</v>
      </c>
      <c r="I50" s="575">
        <v>11154</v>
      </c>
      <c r="J50" s="575">
        <v>2231</v>
      </c>
      <c r="K50" s="797">
        <v>3718</v>
      </c>
      <c r="L50" s="577" t="s">
        <v>737</v>
      </c>
    </row>
    <row r="51" spans="1:12">
      <c r="A51" s="800"/>
      <c r="B51" s="801"/>
      <c r="C51" s="798"/>
      <c r="D51" s="575" t="s">
        <v>456</v>
      </c>
      <c r="E51" s="576">
        <v>2.5000000000000001E-2</v>
      </c>
      <c r="F51" s="576" t="s">
        <v>762</v>
      </c>
      <c r="G51" s="575">
        <v>11154</v>
      </c>
      <c r="H51" s="575">
        <v>2231</v>
      </c>
      <c r="I51" s="575">
        <v>11154</v>
      </c>
      <c r="J51" s="575">
        <v>2231</v>
      </c>
      <c r="K51" s="797"/>
      <c r="L51" s="577" t="s">
        <v>737</v>
      </c>
    </row>
    <row r="52" spans="1:12">
      <c r="A52" s="800"/>
      <c r="B52" s="801"/>
      <c r="C52" s="798"/>
      <c r="D52" s="575" t="s">
        <v>457</v>
      </c>
      <c r="E52" s="576">
        <v>1.2999999999999999E-2</v>
      </c>
      <c r="F52" s="576"/>
      <c r="G52" s="575">
        <v>11154</v>
      </c>
      <c r="H52" s="575">
        <v>2231</v>
      </c>
      <c r="I52" s="575"/>
      <c r="J52" s="575"/>
      <c r="K52" s="797"/>
      <c r="L52" s="577" t="s">
        <v>737</v>
      </c>
    </row>
    <row r="53" spans="1:12">
      <c r="A53" s="800"/>
      <c r="B53" s="801"/>
      <c r="C53" s="798"/>
      <c r="D53" s="575" t="s">
        <v>72</v>
      </c>
      <c r="E53" s="576">
        <v>8.0000000000000002E-3</v>
      </c>
      <c r="F53" s="576"/>
      <c r="G53" s="575">
        <v>11154</v>
      </c>
      <c r="H53" s="575">
        <v>2231</v>
      </c>
      <c r="I53" s="575"/>
      <c r="J53" s="575"/>
      <c r="K53" s="797"/>
      <c r="L53" s="577" t="s">
        <v>737</v>
      </c>
    </row>
    <row r="54" spans="1:12">
      <c r="A54" s="800"/>
      <c r="B54" s="801"/>
      <c r="C54" s="798"/>
      <c r="D54" s="575" t="s">
        <v>458</v>
      </c>
      <c r="E54" s="576">
        <v>0.02</v>
      </c>
      <c r="F54" s="576" t="s">
        <v>763</v>
      </c>
      <c r="G54" s="575">
        <v>11154</v>
      </c>
      <c r="H54" s="575">
        <v>2231</v>
      </c>
      <c r="I54" s="575">
        <v>9693</v>
      </c>
      <c r="J54" s="575">
        <v>1939</v>
      </c>
      <c r="K54" s="797"/>
      <c r="L54" s="577" t="s">
        <v>737</v>
      </c>
    </row>
    <row r="55" spans="1:12">
      <c r="A55" s="800"/>
      <c r="B55" s="801"/>
      <c r="C55" s="798"/>
      <c r="D55" s="575" t="s">
        <v>702</v>
      </c>
      <c r="E55" s="576">
        <v>0.18</v>
      </c>
      <c r="F55" s="576">
        <v>0.14000000000000001</v>
      </c>
      <c r="G55" s="575">
        <v>18590</v>
      </c>
      <c r="H55" s="575">
        <v>900</v>
      </c>
      <c r="I55" s="575">
        <v>18590</v>
      </c>
      <c r="J55" s="575">
        <v>900</v>
      </c>
      <c r="K55" s="797"/>
      <c r="L55" s="577" t="s">
        <v>737</v>
      </c>
    </row>
    <row r="56" spans="1:12">
      <c r="A56" s="800"/>
      <c r="B56" s="801"/>
      <c r="C56" s="798" t="s">
        <v>764</v>
      </c>
      <c r="D56" s="575" t="s">
        <v>455</v>
      </c>
      <c r="E56" s="576">
        <v>0.2</v>
      </c>
      <c r="F56" s="576">
        <v>0.08</v>
      </c>
      <c r="G56" s="575">
        <v>10472</v>
      </c>
      <c r="H56" s="575">
        <v>2095</v>
      </c>
      <c r="I56" s="575">
        <v>10472</v>
      </c>
      <c r="J56" s="575">
        <v>2095</v>
      </c>
      <c r="K56" s="797">
        <v>3492</v>
      </c>
      <c r="L56" s="577" t="s">
        <v>737</v>
      </c>
    </row>
    <row r="57" spans="1:12">
      <c r="A57" s="800"/>
      <c r="B57" s="801"/>
      <c r="C57" s="798"/>
      <c r="D57" s="575" t="s">
        <v>456</v>
      </c>
      <c r="E57" s="576">
        <v>0.08</v>
      </c>
      <c r="F57" s="576">
        <v>0.02</v>
      </c>
      <c r="G57" s="575">
        <v>9636</v>
      </c>
      <c r="H57" s="575">
        <v>3212</v>
      </c>
      <c r="I57" s="575">
        <v>9636</v>
      </c>
      <c r="J57" s="575">
        <v>3212</v>
      </c>
      <c r="K57" s="797"/>
      <c r="L57" s="577" t="s">
        <v>737</v>
      </c>
    </row>
    <row r="58" spans="1:12">
      <c r="A58" s="800"/>
      <c r="B58" s="801"/>
      <c r="C58" s="798"/>
      <c r="D58" s="575" t="s">
        <v>457</v>
      </c>
      <c r="E58" s="576">
        <v>1.2E-2</v>
      </c>
      <c r="F58" s="576"/>
      <c r="G58" s="575">
        <v>10472</v>
      </c>
      <c r="H58" s="575">
        <v>2095</v>
      </c>
      <c r="I58" s="575"/>
      <c r="J58" s="575"/>
      <c r="K58" s="797"/>
      <c r="L58" s="577" t="s">
        <v>737</v>
      </c>
    </row>
    <row r="59" spans="1:12">
      <c r="A59" s="800"/>
      <c r="B59" s="801"/>
      <c r="C59" s="798"/>
      <c r="D59" s="575" t="s">
        <v>72</v>
      </c>
      <c r="E59" s="576">
        <v>6.0000000000000001E-3</v>
      </c>
      <c r="F59" s="576"/>
      <c r="G59" s="575">
        <v>8517</v>
      </c>
      <c r="H59" s="575">
        <v>2857</v>
      </c>
      <c r="I59" s="575"/>
      <c r="J59" s="575"/>
      <c r="K59" s="797"/>
      <c r="L59" s="577" t="s">
        <v>737</v>
      </c>
    </row>
    <row r="60" spans="1:12">
      <c r="A60" s="800"/>
      <c r="B60" s="801"/>
      <c r="C60" s="798"/>
      <c r="D60" s="575" t="s">
        <v>458</v>
      </c>
      <c r="E60" s="576">
        <v>0.02</v>
      </c>
      <c r="F60" s="576">
        <v>0.01</v>
      </c>
      <c r="G60" s="575">
        <v>10472</v>
      </c>
      <c r="H60" s="575">
        <v>2095</v>
      </c>
      <c r="I60" s="575">
        <v>10472</v>
      </c>
      <c r="J60" s="575">
        <v>2095</v>
      </c>
      <c r="K60" s="797"/>
      <c r="L60" s="577" t="s">
        <v>737</v>
      </c>
    </row>
    <row r="61" spans="1:12">
      <c r="A61" s="800"/>
      <c r="B61" s="801"/>
      <c r="C61" s="798"/>
      <c r="D61" s="575" t="s">
        <v>702</v>
      </c>
      <c r="E61" s="576">
        <v>0.12</v>
      </c>
      <c r="F61" s="576">
        <v>0.12</v>
      </c>
      <c r="G61" s="575">
        <v>17460</v>
      </c>
      <c r="H61" s="575">
        <v>900</v>
      </c>
      <c r="I61" s="575">
        <v>17460</v>
      </c>
      <c r="J61" s="575">
        <v>900</v>
      </c>
      <c r="K61" s="797"/>
      <c r="L61" s="577" t="s">
        <v>737</v>
      </c>
    </row>
    <row r="62" spans="1:12" ht="26">
      <c r="A62" s="800"/>
      <c r="B62" s="797" t="s">
        <v>765</v>
      </c>
      <c r="C62" s="797" t="s">
        <v>766</v>
      </c>
      <c r="D62" s="575" t="s">
        <v>455</v>
      </c>
      <c r="E62" s="576">
        <v>0.2</v>
      </c>
      <c r="F62" s="576">
        <v>0.08</v>
      </c>
      <c r="G62" s="575">
        <v>8931</v>
      </c>
      <c r="H62" s="575">
        <v>1786</v>
      </c>
      <c r="I62" s="575">
        <v>8931</v>
      </c>
      <c r="J62" s="575">
        <v>1786</v>
      </c>
      <c r="K62" s="797">
        <v>2977</v>
      </c>
      <c r="L62" s="580" t="s">
        <v>767</v>
      </c>
    </row>
    <row r="63" spans="1:12" ht="26">
      <c r="A63" s="800"/>
      <c r="B63" s="797"/>
      <c r="C63" s="797"/>
      <c r="D63" s="575" t="s">
        <v>456</v>
      </c>
      <c r="E63" s="576">
        <v>7.0000000000000007E-2</v>
      </c>
      <c r="F63" s="576">
        <v>0.02</v>
      </c>
      <c r="G63" s="575">
        <v>8931</v>
      </c>
      <c r="H63" s="575">
        <v>1786.2</v>
      </c>
      <c r="I63" s="575">
        <v>8931</v>
      </c>
      <c r="J63" s="575">
        <v>1786.2</v>
      </c>
      <c r="K63" s="797"/>
      <c r="L63" s="580" t="s">
        <v>768</v>
      </c>
    </row>
    <row r="64" spans="1:12" ht="26">
      <c r="A64" s="800"/>
      <c r="B64" s="797"/>
      <c r="C64" s="797"/>
      <c r="D64" s="575" t="s">
        <v>457</v>
      </c>
      <c r="E64" s="576">
        <v>5.0000000000000001E-3</v>
      </c>
      <c r="F64" s="576"/>
      <c r="G64" s="575">
        <v>8931</v>
      </c>
      <c r="H64" s="575">
        <v>1786.2</v>
      </c>
      <c r="I64" s="575"/>
      <c r="J64" s="575"/>
      <c r="K64" s="797"/>
      <c r="L64" s="580" t="s">
        <v>768</v>
      </c>
    </row>
    <row r="65" spans="1:12" ht="26">
      <c r="A65" s="800"/>
      <c r="B65" s="797"/>
      <c r="C65" s="797"/>
      <c r="D65" s="575" t="s">
        <v>72</v>
      </c>
      <c r="E65" s="576">
        <v>7.0000000000000001E-3</v>
      </c>
      <c r="F65" s="576"/>
      <c r="G65" s="575">
        <v>8931</v>
      </c>
      <c r="H65" s="575">
        <v>1786.2</v>
      </c>
      <c r="I65" s="575"/>
      <c r="J65" s="575"/>
      <c r="K65" s="797"/>
      <c r="L65" s="580" t="s">
        <v>768</v>
      </c>
    </row>
    <row r="66" spans="1:12" ht="26">
      <c r="A66" s="800"/>
      <c r="B66" s="797"/>
      <c r="C66" s="797"/>
      <c r="D66" s="575" t="s">
        <v>458</v>
      </c>
      <c r="E66" s="576">
        <v>0.02</v>
      </c>
      <c r="F66" s="576">
        <v>0.01</v>
      </c>
      <c r="G66" s="575">
        <v>8931</v>
      </c>
      <c r="H66" s="575">
        <v>1786</v>
      </c>
      <c r="I66" s="575">
        <v>8931</v>
      </c>
      <c r="J66" s="575">
        <v>1786</v>
      </c>
      <c r="K66" s="797"/>
      <c r="L66" s="580" t="s">
        <v>769</v>
      </c>
    </row>
    <row r="67" spans="1:12">
      <c r="A67" s="800"/>
      <c r="B67" s="797"/>
      <c r="C67" s="797"/>
      <c r="D67" s="575" t="s">
        <v>702</v>
      </c>
      <c r="E67" s="576" t="s">
        <v>770</v>
      </c>
      <c r="F67" s="576" t="s">
        <v>770</v>
      </c>
      <c r="G67" s="575">
        <v>8931</v>
      </c>
      <c r="H67" s="575">
        <v>1000</v>
      </c>
      <c r="I67" s="575">
        <v>8931</v>
      </c>
      <c r="J67" s="575">
        <v>1000</v>
      </c>
      <c r="K67" s="797"/>
      <c r="L67" s="580" t="s">
        <v>735</v>
      </c>
    </row>
    <row r="68" spans="1:12" ht="39">
      <c r="A68" s="800"/>
      <c r="B68" s="799" t="s">
        <v>771</v>
      </c>
      <c r="C68" s="797" t="s">
        <v>772</v>
      </c>
      <c r="D68" s="575" t="s">
        <v>455</v>
      </c>
      <c r="E68" s="576">
        <v>0.22</v>
      </c>
      <c r="F68" s="576">
        <v>0.08</v>
      </c>
      <c r="G68" s="575">
        <v>6833.49</v>
      </c>
      <c r="H68" s="575">
        <v>1366.7</v>
      </c>
      <c r="I68" s="575">
        <v>6833.49</v>
      </c>
      <c r="J68" s="575">
        <v>1366.7</v>
      </c>
      <c r="K68" s="797">
        <v>2277.83</v>
      </c>
      <c r="L68" s="580" t="s">
        <v>773</v>
      </c>
    </row>
    <row r="69" spans="1:12">
      <c r="A69" s="800"/>
      <c r="B69" s="799"/>
      <c r="C69" s="797"/>
      <c r="D69" s="575" t="s">
        <v>456</v>
      </c>
      <c r="E69" s="576" t="s">
        <v>774</v>
      </c>
      <c r="F69" s="576" t="s">
        <v>775</v>
      </c>
      <c r="G69" s="575">
        <v>8099.25</v>
      </c>
      <c r="H69" s="575">
        <v>2699.75</v>
      </c>
      <c r="I69" s="575">
        <v>8099.25</v>
      </c>
      <c r="J69" s="575">
        <v>2699.75</v>
      </c>
      <c r="K69" s="797"/>
      <c r="L69" s="580" t="s">
        <v>776</v>
      </c>
    </row>
    <row r="70" spans="1:12">
      <c r="A70" s="800"/>
      <c r="B70" s="799"/>
      <c r="C70" s="797"/>
      <c r="D70" s="575" t="s">
        <v>457</v>
      </c>
      <c r="E70" s="576" t="s">
        <v>777</v>
      </c>
      <c r="F70" s="576"/>
      <c r="G70" s="575">
        <v>8099.25</v>
      </c>
      <c r="H70" s="575">
        <v>2699.75</v>
      </c>
      <c r="I70" s="575"/>
      <c r="J70" s="575"/>
      <c r="K70" s="797"/>
      <c r="L70" s="580" t="s">
        <v>776</v>
      </c>
    </row>
    <row r="71" spans="1:12">
      <c r="A71" s="800"/>
      <c r="B71" s="799"/>
      <c r="C71" s="797"/>
      <c r="D71" s="575" t="s">
        <v>72</v>
      </c>
      <c r="E71" s="576" t="s">
        <v>778</v>
      </c>
      <c r="F71" s="576"/>
      <c r="G71" s="575">
        <v>8099.25</v>
      </c>
      <c r="H71" s="575">
        <v>2699.75</v>
      </c>
      <c r="I71" s="575"/>
      <c r="J71" s="575"/>
      <c r="K71" s="797"/>
      <c r="L71" s="580" t="s">
        <v>776</v>
      </c>
    </row>
    <row r="72" spans="1:12">
      <c r="A72" s="800"/>
      <c r="B72" s="799"/>
      <c r="C72" s="797"/>
      <c r="D72" s="575" t="s">
        <v>458</v>
      </c>
      <c r="E72" s="576" t="s">
        <v>779</v>
      </c>
      <c r="F72" s="576" t="s">
        <v>780</v>
      </c>
      <c r="G72" s="575">
        <v>8099.25</v>
      </c>
      <c r="H72" s="575">
        <v>1619.85</v>
      </c>
      <c r="I72" s="575">
        <v>8099.25</v>
      </c>
      <c r="J72" s="575">
        <v>1619.85</v>
      </c>
      <c r="K72" s="797"/>
      <c r="L72" s="580" t="s">
        <v>776</v>
      </c>
    </row>
    <row r="73" spans="1:12">
      <c r="A73" s="800"/>
      <c r="B73" s="799"/>
      <c r="C73" s="797"/>
      <c r="D73" s="575" t="s">
        <v>702</v>
      </c>
      <c r="E73" s="576" t="s">
        <v>781</v>
      </c>
      <c r="F73" s="576" t="s">
        <v>781</v>
      </c>
      <c r="G73" s="575">
        <v>13498</v>
      </c>
      <c r="H73" s="575">
        <v>840</v>
      </c>
      <c r="I73" s="575">
        <v>13498</v>
      </c>
      <c r="J73" s="575">
        <v>840</v>
      </c>
      <c r="K73" s="797"/>
      <c r="L73" s="580" t="s">
        <v>782</v>
      </c>
    </row>
    <row r="74" spans="1:12">
      <c r="A74" s="800"/>
      <c r="B74" s="799" t="s">
        <v>783</v>
      </c>
      <c r="C74" s="797" t="s">
        <v>784</v>
      </c>
      <c r="D74" s="575" t="s">
        <v>455</v>
      </c>
      <c r="E74" s="576">
        <v>0.2</v>
      </c>
      <c r="F74" s="576">
        <v>0.08</v>
      </c>
      <c r="G74" s="581">
        <v>10350.75</v>
      </c>
      <c r="H74" s="575">
        <v>2070.15</v>
      </c>
      <c r="I74" s="581">
        <v>10350.75</v>
      </c>
      <c r="J74" s="575">
        <v>2070.15</v>
      </c>
      <c r="K74" s="797">
        <v>3450</v>
      </c>
      <c r="L74" s="580"/>
    </row>
    <row r="75" spans="1:12">
      <c r="A75" s="800"/>
      <c r="B75" s="799"/>
      <c r="C75" s="797"/>
      <c r="D75" s="575" t="s">
        <v>456</v>
      </c>
      <c r="E75" s="576">
        <v>0.06</v>
      </c>
      <c r="F75" s="576">
        <v>0.02</v>
      </c>
      <c r="G75" s="581">
        <v>10350.75</v>
      </c>
      <c r="H75" s="575">
        <v>2760</v>
      </c>
      <c r="I75" s="581">
        <v>10350.75</v>
      </c>
      <c r="J75" s="575">
        <v>2760</v>
      </c>
      <c r="K75" s="797"/>
      <c r="L75" s="580"/>
    </row>
    <row r="76" spans="1:12">
      <c r="A76" s="800"/>
      <c r="B76" s="799"/>
      <c r="C76" s="797"/>
      <c r="D76" s="575" t="s">
        <v>457</v>
      </c>
      <c r="E76" s="576">
        <v>3.0000000000000001E-3</v>
      </c>
      <c r="F76" s="576"/>
      <c r="G76" s="581">
        <v>10350.75</v>
      </c>
      <c r="H76" s="575">
        <v>2070.15</v>
      </c>
      <c r="I76" s="581"/>
      <c r="J76" s="575"/>
      <c r="K76" s="797"/>
      <c r="L76" s="580"/>
    </row>
    <row r="77" spans="1:12">
      <c r="A77" s="800"/>
      <c r="B77" s="799"/>
      <c r="C77" s="797"/>
      <c r="D77" s="575" t="s">
        <v>72</v>
      </c>
      <c r="E77" s="576">
        <v>8.0000000000000002E-3</v>
      </c>
      <c r="F77" s="576"/>
      <c r="G77" s="581">
        <v>10350.75</v>
      </c>
      <c r="H77" s="575">
        <v>2760</v>
      </c>
      <c r="I77" s="581"/>
      <c r="J77" s="575"/>
      <c r="K77" s="797"/>
      <c r="L77" s="580"/>
    </row>
    <row r="78" spans="1:12">
      <c r="A78" s="800"/>
      <c r="B78" s="799"/>
      <c r="C78" s="797"/>
      <c r="D78" s="575" t="s">
        <v>458</v>
      </c>
      <c r="E78" s="576">
        <v>0.02</v>
      </c>
      <c r="F78" s="576">
        <v>0.01</v>
      </c>
      <c r="G78" s="581">
        <v>10350.75</v>
      </c>
      <c r="H78" s="575">
        <v>2070.15</v>
      </c>
      <c r="I78" s="581">
        <v>10350.75</v>
      </c>
      <c r="J78" s="575">
        <v>2070.15</v>
      </c>
      <c r="K78" s="797"/>
      <c r="L78" s="580"/>
    </row>
    <row r="79" spans="1:12">
      <c r="A79" s="800"/>
      <c r="B79" s="799"/>
      <c r="C79" s="797"/>
      <c r="D79" s="575" t="s">
        <v>702</v>
      </c>
      <c r="E79" s="576">
        <v>0.12</v>
      </c>
      <c r="F79" s="576">
        <v>0.12</v>
      </c>
      <c r="G79" s="575">
        <v>10350.75</v>
      </c>
      <c r="H79" s="575">
        <v>1000</v>
      </c>
      <c r="I79" s="575">
        <v>10350.75</v>
      </c>
      <c r="J79" s="575">
        <v>1000</v>
      </c>
      <c r="K79" s="797"/>
      <c r="L79" s="580"/>
    </row>
    <row r="80" spans="1:12">
      <c r="A80" s="800"/>
      <c r="B80" s="799"/>
      <c r="C80" s="797" t="s">
        <v>785</v>
      </c>
      <c r="D80" s="575" t="s">
        <v>455</v>
      </c>
      <c r="E80" s="576">
        <v>0.2</v>
      </c>
      <c r="F80" s="576">
        <v>0.08</v>
      </c>
      <c r="G80" s="581">
        <v>9420</v>
      </c>
      <c r="H80" s="575">
        <v>1884</v>
      </c>
      <c r="I80" s="581">
        <v>9420</v>
      </c>
      <c r="J80" s="575">
        <v>1884</v>
      </c>
      <c r="K80" s="797">
        <v>3140</v>
      </c>
      <c r="L80" s="580" t="s">
        <v>786</v>
      </c>
    </row>
    <row r="81" spans="1:12">
      <c r="A81" s="800"/>
      <c r="B81" s="799"/>
      <c r="C81" s="797"/>
      <c r="D81" s="575" t="s">
        <v>456</v>
      </c>
      <c r="E81" s="576">
        <v>0.06</v>
      </c>
      <c r="F81" s="576">
        <v>0.02</v>
      </c>
      <c r="G81" s="581">
        <v>9420</v>
      </c>
      <c r="H81" s="575">
        <v>2512</v>
      </c>
      <c r="I81" s="581">
        <v>9420</v>
      </c>
      <c r="J81" s="575">
        <v>2512</v>
      </c>
      <c r="K81" s="797"/>
      <c r="L81" s="580" t="s">
        <v>786</v>
      </c>
    </row>
    <row r="82" spans="1:12">
      <c r="A82" s="800"/>
      <c r="B82" s="799"/>
      <c r="C82" s="797"/>
      <c r="D82" s="575" t="s">
        <v>457</v>
      </c>
      <c r="E82" s="576" t="s">
        <v>787</v>
      </c>
      <c r="F82" s="576"/>
      <c r="G82" s="581">
        <v>9420</v>
      </c>
      <c r="H82" s="575">
        <v>1884</v>
      </c>
      <c r="I82" s="581"/>
      <c r="J82" s="575"/>
      <c r="K82" s="797"/>
      <c r="L82" s="580" t="s">
        <v>786</v>
      </c>
    </row>
    <row r="83" spans="1:12">
      <c r="A83" s="800"/>
      <c r="B83" s="799"/>
      <c r="C83" s="797"/>
      <c r="D83" s="575" t="s">
        <v>72</v>
      </c>
      <c r="E83" s="576">
        <v>7.0000000000000001E-3</v>
      </c>
      <c r="F83" s="576"/>
      <c r="G83" s="581">
        <v>9420</v>
      </c>
      <c r="H83" s="575">
        <v>1884</v>
      </c>
      <c r="I83" s="581"/>
      <c r="J83" s="575"/>
      <c r="K83" s="797"/>
      <c r="L83" s="580" t="s">
        <v>786</v>
      </c>
    </row>
    <row r="84" spans="1:12">
      <c r="A84" s="800"/>
      <c r="B84" s="799"/>
      <c r="C84" s="797"/>
      <c r="D84" s="575" t="s">
        <v>458</v>
      </c>
      <c r="E84" s="576">
        <v>0.02</v>
      </c>
      <c r="F84" s="576">
        <v>0.01</v>
      </c>
      <c r="G84" s="581">
        <v>9420</v>
      </c>
      <c r="H84" s="575">
        <v>900</v>
      </c>
      <c r="I84" s="581">
        <v>9420</v>
      </c>
      <c r="J84" s="575">
        <v>900</v>
      </c>
      <c r="K84" s="797"/>
      <c r="L84" s="580" t="s">
        <v>786</v>
      </c>
    </row>
    <row r="85" spans="1:12" ht="26">
      <c r="A85" s="800"/>
      <c r="B85" s="799"/>
      <c r="C85" s="797"/>
      <c r="D85" s="575" t="s">
        <v>702</v>
      </c>
      <c r="E85" s="576" t="s">
        <v>788</v>
      </c>
      <c r="F85" s="576" t="s">
        <v>788</v>
      </c>
      <c r="G85" s="575">
        <v>9420</v>
      </c>
      <c r="H85" s="575">
        <v>900</v>
      </c>
      <c r="I85" s="575">
        <v>9420</v>
      </c>
      <c r="J85" s="575">
        <v>900</v>
      </c>
      <c r="K85" s="797"/>
      <c r="L85" s="580" t="s">
        <v>786</v>
      </c>
    </row>
    <row r="86" spans="1:12">
      <c r="A86" s="814" t="s">
        <v>789</v>
      </c>
      <c r="B86" s="806" t="s">
        <v>790</v>
      </c>
      <c r="C86" s="806" t="s">
        <v>790</v>
      </c>
      <c r="D86" s="582" t="s">
        <v>791</v>
      </c>
      <c r="E86" s="583">
        <v>0.22</v>
      </c>
      <c r="F86" s="583">
        <v>0.08</v>
      </c>
      <c r="G86" s="582">
        <v>16353</v>
      </c>
      <c r="H86" s="582">
        <v>3271</v>
      </c>
      <c r="I86" s="607">
        <v>16353</v>
      </c>
      <c r="J86" s="607">
        <v>3271</v>
      </c>
      <c r="K86" s="804">
        <v>3896</v>
      </c>
      <c r="L86" s="584" t="s">
        <v>717</v>
      </c>
    </row>
    <row r="87" spans="1:12">
      <c r="A87" s="814"/>
      <c r="B87" s="806"/>
      <c r="C87" s="806"/>
      <c r="D87" s="582" t="s">
        <v>792</v>
      </c>
      <c r="E87" s="583">
        <v>0.12</v>
      </c>
      <c r="F87" s="583">
        <v>0.02</v>
      </c>
      <c r="G87" s="607">
        <v>16353</v>
      </c>
      <c r="H87" s="607">
        <v>3271</v>
      </c>
      <c r="I87" s="607">
        <v>16353</v>
      </c>
      <c r="J87" s="607">
        <v>3271</v>
      </c>
      <c r="K87" s="804"/>
      <c r="L87" s="584" t="s">
        <v>717</v>
      </c>
    </row>
    <row r="88" spans="1:12">
      <c r="A88" s="814"/>
      <c r="B88" s="806"/>
      <c r="C88" s="806"/>
      <c r="D88" s="582" t="s">
        <v>793</v>
      </c>
      <c r="E88" s="583">
        <v>0.02</v>
      </c>
      <c r="F88" s="583">
        <v>0.01</v>
      </c>
      <c r="G88" s="607">
        <v>16353</v>
      </c>
      <c r="H88" s="607">
        <v>3271</v>
      </c>
      <c r="I88" s="607">
        <v>16353</v>
      </c>
      <c r="J88" s="607">
        <v>3271</v>
      </c>
      <c r="K88" s="804"/>
      <c r="L88" s="584" t="s">
        <v>717</v>
      </c>
    </row>
    <row r="89" spans="1:12">
      <c r="A89" s="814"/>
      <c r="B89" s="806"/>
      <c r="C89" s="806"/>
      <c r="D89" s="582" t="s">
        <v>794</v>
      </c>
      <c r="E89" s="583">
        <v>8.0000000000000002E-3</v>
      </c>
      <c r="F89" s="583"/>
      <c r="G89" s="607">
        <v>16353</v>
      </c>
      <c r="H89" s="607">
        <v>3271</v>
      </c>
      <c r="I89" s="582"/>
      <c r="J89" s="582"/>
      <c r="K89" s="804"/>
      <c r="L89" s="584" t="s">
        <v>717</v>
      </c>
    </row>
    <row r="90" spans="1:12">
      <c r="A90" s="814"/>
      <c r="B90" s="806"/>
      <c r="C90" s="806"/>
      <c r="D90" s="582" t="s">
        <v>795</v>
      </c>
      <c r="E90" s="583">
        <v>1.7000000000000001E-2</v>
      </c>
      <c r="F90" s="583"/>
      <c r="G90" s="607">
        <v>16353</v>
      </c>
      <c r="H90" s="607">
        <v>3271</v>
      </c>
      <c r="I90" s="582"/>
      <c r="J90" s="582"/>
      <c r="K90" s="804"/>
      <c r="L90" s="584" t="s">
        <v>717</v>
      </c>
    </row>
    <row r="91" spans="1:12">
      <c r="A91" s="814"/>
      <c r="B91" s="806"/>
      <c r="C91" s="806"/>
      <c r="D91" s="582" t="s">
        <v>701</v>
      </c>
      <c r="E91" s="583">
        <v>7.0000000000000007E-2</v>
      </c>
      <c r="F91" s="583">
        <v>7.0000000000000007E-2</v>
      </c>
      <c r="G91" s="607">
        <v>16353</v>
      </c>
      <c r="H91" s="582">
        <v>1120</v>
      </c>
      <c r="I91" s="582">
        <v>11688</v>
      </c>
      <c r="J91" s="582">
        <v>1120</v>
      </c>
      <c r="K91" s="804"/>
      <c r="L91" s="584" t="s">
        <v>732</v>
      </c>
    </row>
    <row r="92" spans="1:12" ht="26">
      <c r="A92" s="814"/>
      <c r="B92" s="806"/>
      <c r="C92" s="806" t="s">
        <v>796</v>
      </c>
      <c r="D92" s="582" t="s">
        <v>797</v>
      </c>
      <c r="E92" s="583">
        <v>0.22</v>
      </c>
      <c r="F92" s="583">
        <v>0.08</v>
      </c>
      <c r="G92" s="582">
        <v>1558</v>
      </c>
      <c r="H92" s="582">
        <v>1558</v>
      </c>
      <c r="I92" s="582">
        <v>1558</v>
      </c>
      <c r="J92" s="582">
        <v>1558</v>
      </c>
      <c r="K92" s="804"/>
      <c r="L92" s="584" t="s">
        <v>717</v>
      </c>
    </row>
    <row r="93" spans="1:12" ht="26">
      <c r="A93" s="814"/>
      <c r="B93" s="806"/>
      <c r="C93" s="806"/>
      <c r="D93" s="582" t="s">
        <v>798</v>
      </c>
      <c r="E93" s="583">
        <v>0.06</v>
      </c>
      <c r="F93" s="583">
        <v>0.01</v>
      </c>
      <c r="G93" s="582">
        <v>1558</v>
      </c>
      <c r="H93" s="582">
        <v>1558</v>
      </c>
      <c r="I93" s="582">
        <v>1558</v>
      </c>
      <c r="J93" s="582">
        <v>1558</v>
      </c>
      <c r="K93" s="804"/>
      <c r="L93" s="584" t="s">
        <v>717</v>
      </c>
    </row>
    <row r="94" spans="1:12" ht="26">
      <c r="A94" s="814"/>
      <c r="B94" s="806"/>
      <c r="C94" s="806"/>
      <c r="D94" s="582" t="s">
        <v>799</v>
      </c>
      <c r="E94" s="583">
        <v>5.0000000000000001E-3</v>
      </c>
      <c r="F94" s="583">
        <v>0</v>
      </c>
      <c r="G94" s="582">
        <v>1558</v>
      </c>
      <c r="H94" s="582">
        <v>1558</v>
      </c>
      <c r="I94" s="582">
        <v>1558</v>
      </c>
      <c r="J94" s="582">
        <v>1558</v>
      </c>
      <c r="K94" s="804"/>
      <c r="L94" s="584" t="s">
        <v>717</v>
      </c>
    </row>
    <row r="95" spans="1:12">
      <c r="A95" s="814"/>
      <c r="B95" s="806"/>
      <c r="C95" s="806"/>
      <c r="D95" s="582" t="s">
        <v>72</v>
      </c>
      <c r="E95" s="583"/>
      <c r="F95" s="583"/>
      <c r="G95" s="582"/>
      <c r="H95" s="582"/>
      <c r="I95" s="582"/>
      <c r="J95" s="582"/>
      <c r="K95" s="804"/>
      <c r="L95" s="584" t="s">
        <v>717</v>
      </c>
    </row>
    <row r="96" spans="1:12">
      <c r="A96" s="814"/>
      <c r="B96" s="806"/>
      <c r="C96" s="806"/>
      <c r="D96" s="582" t="s">
        <v>795</v>
      </c>
      <c r="E96" s="583"/>
      <c r="F96" s="583"/>
      <c r="G96" s="582"/>
      <c r="H96" s="582"/>
      <c r="I96" s="582"/>
      <c r="J96" s="582"/>
      <c r="K96" s="804"/>
      <c r="L96" s="584" t="s">
        <v>717</v>
      </c>
    </row>
    <row r="97" spans="1:12">
      <c r="A97" s="814"/>
      <c r="B97" s="806"/>
      <c r="C97" s="806"/>
      <c r="D97" s="582" t="s">
        <v>701</v>
      </c>
      <c r="E97" s="583">
        <v>7.0000000000000007E-2</v>
      </c>
      <c r="F97" s="583">
        <v>7.0000000000000007E-2</v>
      </c>
      <c r="G97" s="582">
        <v>11688</v>
      </c>
      <c r="H97" s="582">
        <v>1120</v>
      </c>
      <c r="I97" s="582">
        <v>11688</v>
      </c>
      <c r="J97" s="582">
        <v>1120</v>
      </c>
      <c r="K97" s="804"/>
      <c r="L97" s="584" t="s">
        <v>732</v>
      </c>
    </row>
    <row r="98" spans="1:12" ht="26">
      <c r="A98" s="814"/>
      <c r="B98" s="806"/>
      <c r="C98" s="806" t="s">
        <v>800</v>
      </c>
      <c r="D98" s="582" t="s">
        <v>801</v>
      </c>
      <c r="E98" s="583">
        <v>0.17</v>
      </c>
      <c r="F98" s="583">
        <v>0.05</v>
      </c>
      <c r="G98" s="582">
        <v>2338</v>
      </c>
      <c r="H98" s="582">
        <v>2338</v>
      </c>
      <c r="I98" s="582">
        <v>2338</v>
      </c>
      <c r="J98" s="582">
        <v>2338</v>
      </c>
      <c r="K98" s="804"/>
      <c r="L98" s="584" t="s">
        <v>717</v>
      </c>
    </row>
    <row r="99" spans="1:12" ht="26">
      <c r="A99" s="814"/>
      <c r="B99" s="806"/>
      <c r="C99" s="806"/>
      <c r="D99" s="582" t="s">
        <v>802</v>
      </c>
      <c r="E99" s="583">
        <v>7.0000000000000007E-2</v>
      </c>
      <c r="F99" s="583">
        <v>0.01</v>
      </c>
      <c r="G99" s="582">
        <v>2338</v>
      </c>
      <c r="H99" s="582">
        <v>2338</v>
      </c>
      <c r="I99" s="582">
        <v>2338</v>
      </c>
      <c r="J99" s="582">
        <v>2338</v>
      </c>
      <c r="K99" s="804"/>
      <c r="L99" s="584" t="s">
        <v>717</v>
      </c>
    </row>
    <row r="100" spans="1:12" ht="26">
      <c r="A100" s="814"/>
      <c r="B100" s="806"/>
      <c r="C100" s="806"/>
      <c r="D100" s="582" t="s">
        <v>803</v>
      </c>
      <c r="E100" s="583">
        <v>5.0000000000000001E-3</v>
      </c>
      <c r="F100" s="583"/>
      <c r="G100" s="582">
        <v>2338</v>
      </c>
      <c r="H100" s="582">
        <v>2338</v>
      </c>
      <c r="I100" s="582"/>
      <c r="J100" s="582"/>
      <c r="K100" s="804"/>
      <c r="L100" s="584" t="s">
        <v>717</v>
      </c>
    </row>
    <row r="101" spans="1:12" ht="26">
      <c r="A101" s="814"/>
      <c r="B101" s="806"/>
      <c r="C101" s="806"/>
      <c r="D101" s="582" t="s">
        <v>804</v>
      </c>
      <c r="E101" s="583">
        <v>8.0000000000000002E-3</v>
      </c>
      <c r="F101" s="583"/>
      <c r="G101" s="582">
        <v>2338</v>
      </c>
      <c r="H101" s="582">
        <v>2338</v>
      </c>
      <c r="I101" s="582"/>
      <c r="J101" s="582"/>
      <c r="K101" s="804"/>
      <c r="L101" s="584" t="s">
        <v>717</v>
      </c>
    </row>
    <row r="102" spans="1:12" ht="26">
      <c r="A102" s="814"/>
      <c r="B102" s="806"/>
      <c r="C102" s="806"/>
      <c r="D102" s="582" t="s">
        <v>805</v>
      </c>
      <c r="E102" s="583">
        <v>1.7000000000000001E-2</v>
      </c>
      <c r="F102" s="583">
        <v>0.01</v>
      </c>
      <c r="G102" s="582">
        <v>2338</v>
      </c>
      <c r="H102" s="582">
        <v>2338</v>
      </c>
      <c r="I102" s="582">
        <v>2338</v>
      </c>
      <c r="J102" s="582">
        <v>2338</v>
      </c>
      <c r="K102" s="804"/>
      <c r="L102" s="584" t="s">
        <v>717</v>
      </c>
    </row>
    <row r="103" spans="1:12">
      <c r="A103" s="814"/>
      <c r="B103" s="806"/>
      <c r="C103" s="806"/>
      <c r="D103" s="582" t="s">
        <v>701</v>
      </c>
      <c r="E103" s="583">
        <v>7.0000000000000007E-2</v>
      </c>
      <c r="F103" s="583">
        <v>7.0000000000000007E-2</v>
      </c>
      <c r="G103" s="582">
        <v>11688</v>
      </c>
      <c r="H103" s="582">
        <v>1120</v>
      </c>
      <c r="I103" s="582">
        <v>11688</v>
      </c>
      <c r="J103" s="582">
        <v>1120</v>
      </c>
      <c r="K103" s="804"/>
      <c r="L103" s="584" t="s">
        <v>732</v>
      </c>
    </row>
    <row r="104" spans="1:12">
      <c r="A104" s="814"/>
      <c r="B104" s="806" t="s">
        <v>806</v>
      </c>
      <c r="C104" s="807" t="s">
        <v>807</v>
      </c>
      <c r="D104" s="582" t="s">
        <v>791</v>
      </c>
      <c r="E104" s="583">
        <v>0.2</v>
      </c>
      <c r="F104" s="583">
        <v>0.08</v>
      </c>
      <c r="G104" s="582">
        <v>12195</v>
      </c>
      <c r="H104" s="582">
        <v>1794</v>
      </c>
      <c r="I104" s="582">
        <v>12195</v>
      </c>
      <c r="J104" s="582">
        <v>1794</v>
      </c>
      <c r="K104" s="804">
        <v>3375</v>
      </c>
      <c r="L104" s="584" t="s">
        <v>732</v>
      </c>
    </row>
    <row r="105" spans="1:12">
      <c r="A105" s="814"/>
      <c r="B105" s="806"/>
      <c r="C105" s="807"/>
      <c r="D105" s="582" t="s">
        <v>792</v>
      </c>
      <c r="E105" s="583">
        <v>0.09</v>
      </c>
      <c r="F105" s="583">
        <v>0.02</v>
      </c>
      <c r="G105" s="582">
        <v>12195</v>
      </c>
      <c r="H105" s="582">
        <v>1794</v>
      </c>
      <c r="I105" s="582">
        <v>12195</v>
      </c>
      <c r="J105" s="582">
        <v>1794</v>
      </c>
      <c r="K105" s="804"/>
      <c r="L105" s="584" t="s">
        <v>732</v>
      </c>
    </row>
    <row r="106" spans="1:12">
      <c r="A106" s="814"/>
      <c r="B106" s="806"/>
      <c r="C106" s="807"/>
      <c r="D106" s="582" t="s">
        <v>793</v>
      </c>
      <c r="E106" s="583">
        <v>8.0000000000000002E-3</v>
      </c>
      <c r="F106" s="583"/>
      <c r="G106" s="582">
        <v>12195</v>
      </c>
      <c r="H106" s="582">
        <v>1794</v>
      </c>
      <c r="I106" s="582"/>
      <c r="J106" s="582"/>
      <c r="K106" s="804"/>
      <c r="L106" s="584" t="s">
        <v>732</v>
      </c>
    </row>
    <row r="107" spans="1:12">
      <c r="A107" s="814"/>
      <c r="B107" s="806"/>
      <c r="C107" s="807"/>
      <c r="D107" s="582" t="s">
        <v>794</v>
      </c>
      <c r="E107" s="583">
        <v>8.0000000000000002E-3</v>
      </c>
      <c r="F107" s="583"/>
      <c r="G107" s="582">
        <v>12195</v>
      </c>
      <c r="H107" s="582">
        <v>1794</v>
      </c>
      <c r="I107" s="582"/>
      <c r="J107" s="582"/>
      <c r="K107" s="804"/>
      <c r="L107" s="584" t="s">
        <v>732</v>
      </c>
    </row>
    <row r="108" spans="1:12">
      <c r="A108" s="814"/>
      <c r="B108" s="806"/>
      <c r="C108" s="807"/>
      <c r="D108" s="582" t="s">
        <v>795</v>
      </c>
      <c r="E108" s="583">
        <v>0.02</v>
      </c>
      <c r="F108" s="583">
        <v>0.01</v>
      </c>
      <c r="G108" s="582">
        <v>12195</v>
      </c>
      <c r="H108" s="582">
        <v>1794</v>
      </c>
      <c r="I108" s="582">
        <v>12195</v>
      </c>
      <c r="J108" s="582">
        <v>1794</v>
      </c>
      <c r="K108" s="804"/>
      <c r="L108" s="584" t="s">
        <v>732</v>
      </c>
    </row>
    <row r="109" spans="1:12">
      <c r="A109" s="814"/>
      <c r="B109" s="806"/>
      <c r="C109" s="807" t="s">
        <v>808</v>
      </c>
      <c r="D109" s="582" t="s">
        <v>701</v>
      </c>
      <c r="E109" s="583" t="s">
        <v>809</v>
      </c>
      <c r="F109" s="583" t="s">
        <v>810</v>
      </c>
      <c r="G109" s="582">
        <v>12200</v>
      </c>
      <c r="H109" s="582">
        <v>1140</v>
      </c>
      <c r="I109" s="582">
        <v>12200</v>
      </c>
      <c r="J109" s="582">
        <v>1140</v>
      </c>
      <c r="K109" s="804"/>
      <c r="L109" s="584" t="s">
        <v>732</v>
      </c>
    </row>
    <row r="110" spans="1:12">
      <c r="A110" s="814"/>
      <c r="B110" s="806"/>
      <c r="C110" s="807" t="s">
        <v>811</v>
      </c>
      <c r="D110" s="582" t="s">
        <v>791</v>
      </c>
      <c r="E110" s="583">
        <v>0.2</v>
      </c>
      <c r="F110" s="583">
        <v>0.08</v>
      </c>
      <c r="G110" s="582">
        <v>11392</v>
      </c>
      <c r="H110" s="582">
        <v>1800</v>
      </c>
      <c r="I110" s="582">
        <v>11392</v>
      </c>
      <c r="J110" s="582">
        <v>1800</v>
      </c>
      <c r="K110" s="804">
        <v>3797</v>
      </c>
      <c r="L110" s="584" t="s">
        <v>717</v>
      </c>
    </row>
    <row r="111" spans="1:12">
      <c r="A111" s="814"/>
      <c r="B111" s="806"/>
      <c r="C111" s="807"/>
      <c r="D111" s="582" t="s">
        <v>792</v>
      </c>
      <c r="E111" s="583">
        <v>0.09</v>
      </c>
      <c r="F111" s="583" t="s">
        <v>812</v>
      </c>
      <c r="G111" s="582">
        <v>11392</v>
      </c>
      <c r="H111" s="582">
        <v>1800</v>
      </c>
      <c r="I111" s="582">
        <v>11392</v>
      </c>
      <c r="J111" s="582">
        <v>1800</v>
      </c>
      <c r="K111" s="804"/>
      <c r="L111" s="584" t="s">
        <v>717</v>
      </c>
    </row>
    <row r="112" spans="1:12">
      <c r="A112" s="814"/>
      <c r="B112" s="806"/>
      <c r="C112" s="807"/>
      <c r="D112" s="582" t="s">
        <v>793</v>
      </c>
      <c r="E112" s="583">
        <v>0.01</v>
      </c>
      <c r="F112" s="583"/>
      <c r="G112" s="582">
        <v>11392</v>
      </c>
      <c r="H112" s="582">
        <v>1800</v>
      </c>
      <c r="I112" s="582"/>
      <c r="J112" s="582"/>
      <c r="K112" s="804"/>
      <c r="L112" s="584" t="s">
        <v>717</v>
      </c>
    </row>
    <row r="113" spans="1:12">
      <c r="A113" s="814"/>
      <c r="B113" s="806"/>
      <c r="C113" s="807"/>
      <c r="D113" s="582" t="s">
        <v>794</v>
      </c>
      <c r="E113" s="583">
        <v>0.01</v>
      </c>
      <c r="F113" s="583"/>
      <c r="G113" s="582">
        <v>11392</v>
      </c>
      <c r="H113" s="582">
        <v>1800</v>
      </c>
      <c r="I113" s="582"/>
      <c r="J113" s="582"/>
      <c r="K113" s="804"/>
      <c r="L113" s="584" t="s">
        <v>717</v>
      </c>
    </row>
    <row r="114" spans="1:12">
      <c r="A114" s="814"/>
      <c r="B114" s="806"/>
      <c r="C114" s="807"/>
      <c r="D114" s="582" t="s">
        <v>795</v>
      </c>
      <c r="E114" s="583">
        <v>0.02</v>
      </c>
      <c r="F114" s="583">
        <v>0.01</v>
      </c>
      <c r="G114" s="582">
        <v>11392</v>
      </c>
      <c r="H114" s="582">
        <v>1800</v>
      </c>
      <c r="I114" s="582">
        <v>11392</v>
      </c>
      <c r="J114" s="582">
        <v>1800</v>
      </c>
      <c r="K114" s="804"/>
      <c r="L114" s="584" t="s">
        <v>717</v>
      </c>
    </row>
    <row r="115" spans="1:12">
      <c r="A115" s="814"/>
      <c r="B115" s="806"/>
      <c r="C115" s="807"/>
      <c r="D115" s="582" t="s">
        <v>701</v>
      </c>
      <c r="E115" s="583" t="s">
        <v>813</v>
      </c>
      <c r="F115" s="583" t="s">
        <v>813</v>
      </c>
      <c r="G115" s="582">
        <v>12900</v>
      </c>
      <c r="H115" s="582">
        <v>1800</v>
      </c>
      <c r="I115" s="582">
        <v>12900</v>
      </c>
      <c r="J115" s="582">
        <v>1800</v>
      </c>
      <c r="K115" s="804"/>
      <c r="L115" s="584" t="s">
        <v>732</v>
      </c>
    </row>
    <row r="116" spans="1:12">
      <c r="A116" s="814"/>
      <c r="B116" s="806"/>
      <c r="C116" s="807" t="s">
        <v>814</v>
      </c>
      <c r="D116" s="582" t="s">
        <v>791</v>
      </c>
      <c r="E116" s="583">
        <v>0.2</v>
      </c>
      <c r="F116" s="583">
        <v>0.08</v>
      </c>
      <c r="G116" s="582">
        <v>11392</v>
      </c>
      <c r="H116" s="582">
        <v>1800</v>
      </c>
      <c r="I116" s="582">
        <v>11392</v>
      </c>
      <c r="J116" s="582">
        <v>1800</v>
      </c>
      <c r="K116" s="804">
        <v>3797</v>
      </c>
      <c r="L116" s="584" t="s">
        <v>717</v>
      </c>
    </row>
    <row r="117" spans="1:12">
      <c r="A117" s="814"/>
      <c r="B117" s="806"/>
      <c r="C117" s="807"/>
      <c r="D117" s="582" t="s">
        <v>792</v>
      </c>
      <c r="E117" s="583">
        <v>0.09</v>
      </c>
      <c r="F117" s="583" t="s">
        <v>815</v>
      </c>
      <c r="G117" s="582">
        <v>11392</v>
      </c>
      <c r="H117" s="582">
        <v>1800</v>
      </c>
      <c r="I117" s="582">
        <v>11392</v>
      </c>
      <c r="J117" s="582">
        <v>1800</v>
      </c>
      <c r="K117" s="804"/>
      <c r="L117" s="584" t="s">
        <v>717</v>
      </c>
    </row>
    <row r="118" spans="1:12">
      <c r="A118" s="814"/>
      <c r="B118" s="806"/>
      <c r="C118" s="807"/>
      <c r="D118" s="582" t="s">
        <v>793</v>
      </c>
      <c r="E118" s="583">
        <v>0.01</v>
      </c>
      <c r="F118" s="583"/>
      <c r="G118" s="582">
        <v>11392</v>
      </c>
      <c r="H118" s="582">
        <v>1800</v>
      </c>
      <c r="I118" s="582"/>
      <c r="J118" s="582"/>
      <c r="K118" s="804"/>
      <c r="L118" s="584" t="s">
        <v>717</v>
      </c>
    </row>
    <row r="119" spans="1:12">
      <c r="A119" s="814"/>
      <c r="B119" s="806"/>
      <c r="C119" s="807"/>
      <c r="D119" s="582" t="s">
        <v>794</v>
      </c>
      <c r="E119" s="583">
        <v>0.01</v>
      </c>
      <c r="F119" s="583"/>
      <c r="G119" s="582">
        <v>11392</v>
      </c>
      <c r="H119" s="582">
        <v>1800</v>
      </c>
      <c r="I119" s="582"/>
      <c r="J119" s="582"/>
      <c r="K119" s="804"/>
      <c r="L119" s="584" t="s">
        <v>717</v>
      </c>
    </row>
    <row r="120" spans="1:12">
      <c r="A120" s="814"/>
      <c r="B120" s="806"/>
      <c r="C120" s="807"/>
      <c r="D120" s="582" t="s">
        <v>795</v>
      </c>
      <c r="E120" s="583">
        <v>0.02</v>
      </c>
      <c r="F120" s="583">
        <v>0.01</v>
      </c>
      <c r="G120" s="582">
        <v>11392</v>
      </c>
      <c r="H120" s="582">
        <v>1800</v>
      </c>
      <c r="I120" s="582">
        <v>11392</v>
      </c>
      <c r="J120" s="582">
        <v>1800</v>
      </c>
      <c r="K120" s="804"/>
      <c r="L120" s="584" t="s">
        <v>717</v>
      </c>
    </row>
    <row r="121" spans="1:12">
      <c r="A121" s="814"/>
      <c r="B121" s="806"/>
      <c r="C121" s="807"/>
      <c r="D121" s="582" t="s">
        <v>816</v>
      </c>
      <c r="E121" s="583">
        <v>0.28000000000000003</v>
      </c>
      <c r="F121" s="583">
        <v>0.19</v>
      </c>
      <c r="G121" s="582">
        <v>12900</v>
      </c>
      <c r="H121" s="582">
        <v>1800</v>
      </c>
      <c r="I121" s="582">
        <v>12900</v>
      </c>
      <c r="J121" s="582">
        <v>1800</v>
      </c>
      <c r="K121" s="804"/>
      <c r="L121" s="584" t="s">
        <v>717</v>
      </c>
    </row>
    <row r="122" spans="1:12">
      <c r="A122" s="814"/>
      <c r="B122" s="806"/>
      <c r="C122" s="807"/>
      <c r="D122" s="582" t="s">
        <v>817</v>
      </c>
      <c r="E122" s="583"/>
      <c r="F122" s="583"/>
      <c r="G122" s="582">
        <v>11392</v>
      </c>
      <c r="H122" s="582">
        <v>1800</v>
      </c>
      <c r="I122" s="582">
        <v>11392</v>
      </c>
      <c r="J122" s="582">
        <v>1800</v>
      </c>
      <c r="K122" s="804"/>
      <c r="L122" s="584" t="s">
        <v>732</v>
      </c>
    </row>
    <row r="123" spans="1:12">
      <c r="A123" s="814"/>
      <c r="B123" s="806"/>
      <c r="C123" s="806" t="s">
        <v>818</v>
      </c>
      <c r="D123" s="582" t="s">
        <v>791</v>
      </c>
      <c r="E123" s="583">
        <v>0.2</v>
      </c>
      <c r="F123" s="583">
        <v>0.08</v>
      </c>
      <c r="G123" s="582">
        <v>10875</v>
      </c>
      <c r="H123" s="582">
        <v>1761</v>
      </c>
      <c r="I123" s="582">
        <v>10875</v>
      </c>
      <c r="J123" s="582">
        <v>1761</v>
      </c>
      <c r="K123" s="804">
        <v>3625</v>
      </c>
      <c r="L123" s="802" t="s">
        <v>819</v>
      </c>
    </row>
    <row r="124" spans="1:12">
      <c r="A124" s="814"/>
      <c r="B124" s="806"/>
      <c r="C124" s="806"/>
      <c r="D124" s="582" t="s">
        <v>792</v>
      </c>
      <c r="E124" s="583">
        <v>0.08</v>
      </c>
      <c r="F124" s="583">
        <v>0.02</v>
      </c>
      <c r="G124" s="582">
        <v>10875</v>
      </c>
      <c r="H124" s="582">
        <v>1761</v>
      </c>
      <c r="I124" s="582">
        <v>10875</v>
      </c>
      <c r="J124" s="582">
        <v>1761</v>
      </c>
      <c r="K124" s="804"/>
      <c r="L124" s="802"/>
    </row>
    <row r="125" spans="1:12">
      <c r="A125" s="814"/>
      <c r="B125" s="806"/>
      <c r="C125" s="806"/>
      <c r="D125" s="582" t="s">
        <v>793</v>
      </c>
      <c r="E125" s="583">
        <v>5.0000000000000001E-3</v>
      </c>
      <c r="F125" s="583"/>
      <c r="G125" s="582">
        <v>10875</v>
      </c>
      <c r="H125" s="582">
        <v>1761</v>
      </c>
      <c r="I125" s="582"/>
      <c r="J125" s="582"/>
      <c r="K125" s="804"/>
      <c r="L125" s="802"/>
    </row>
    <row r="126" spans="1:12">
      <c r="A126" s="814"/>
      <c r="B126" s="806"/>
      <c r="C126" s="806"/>
      <c r="D126" s="582" t="s">
        <v>794</v>
      </c>
      <c r="E126" s="583">
        <v>8.0000000000000002E-3</v>
      </c>
      <c r="F126" s="583"/>
      <c r="G126" s="582">
        <v>10875</v>
      </c>
      <c r="H126" s="582">
        <v>1761</v>
      </c>
      <c r="I126" s="582"/>
      <c r="J126" s="582"/>
      <c r="K126" s="804"/>
      <c r="L126" s="802"/>
    </row>
    <row r="127" spans="1:12">
      <c r="A127" s="814"/>
      <c r="B127" s="806"/>
      <c r="C127" s="806"/>
      <c r="D127" s="582" t="s">
        <v>795</v>
      </c>
      <c r="E127" s="583">
        <v>0.02</v>
      </c>
      <c r="F127" s="583">
        <v>0.01</v>
      </c>
      <c r="G127" s="582">
        <v>10875</v>
      </c>
      <c r="H127" s="582">
        <v>1761</v>
      </c>
      <c r="I127" s="582">
        <v>10875</v>
      </c>
      <c r="J127" s="582">
        <v>1761</v>
      </c>
      <c r="K127" s="804"/>
      <c r="L127" s="802"/>
    </row>
    <row r="128" spans="1:12">
      <c r="A128" s="814"/>
      <c r="B128" s="806"/>
      <c r="C128" s="806"/>
      <c r="D128" s="582" t="s">
        <v>701</v>
      </c>
      <c r="E128" s="583" t="s">
        <v>820</v>
      </c>
      <c r="F128" s="583" t="s">
        <v>820</v>
      </c>
      <c r="G128" s="582">
        <v>10875</v>
      </c>
      <c r="H128" s="582">
        <v>1140</v>
      </c>
      <c r="I128" s="582">
        <v>10875</v>
      </c>
      <c r="J128" s="582">
        <v>1140</v>
      </c>
      <c r="K128" s="804"/>
      <c r="L128" s="584" t="s">
        <v>821</v>
      </c>
    </row>
    <row r="129" spans="1:12">
      <c r="A129" s="814"/>
      <c r="B129" s="806"/>
      <c r="C129" s="803" t="s">
        <v>822</v>
      </c>
      <c r="D129" s="582" t="s">
        <v>791</v>
      </c>
      <c r="E129" s="583">
        <v>0.2</v>
      </c>
      <c r="F129" s="583">
        <v>0.08</v>
      </c>
      <c r="G129" s="582">
        <v>8973</v>
      </c>
      <c r="H129" s="582">
        <v>1662</v>
      </c>
      <c r="I129" s="582">
        <v>8973</v>
      </c>
      <c r="J129" s="582">
        <v>1662</v>
      </c>
      <c r="K129" s="804">
        <v>2770</v>
      </c>
      <c r="L129" s="584" t="s">
        <v>732</v>
      </c>
    </row>
    <row r="130" spans="1:12">
      <c r="A130" s="814"/>
      <c r="B130" s="806"/>
      <c r="C130" s="803"/>
      <c r="D130" s="582" t="s">
        <v>792</v>
      </c>
      <c r="E130" s="583">
        <v>0.08</v>
      </c>
      <c r="F130" s="583" t="s">
        <v>823</v>
      </c>
      <c r="G130" s="582">
        <v>8973</v>
      </c>
      <c r="H130" s="582">
        <v>1662</v>
      </c>
      <c r="I130" s="582">
        <v>8973</v>
      </c>
      <c r="J130" s="582">
        <v>1662</v>
      </c>
      <c r="K130" s="804"/>
      <c r="L130" s="584" t="s">
        <v>732</v>
      </c>
    </row>
    <row r="131" spans="1:12">
      <c r="A131" s="814"/>
      <c r="B131" s="806"/>
      <c r="C131" s="803"/>
      <c r="D131" s="582" t="s">
        <v>793</v>
      </c>
      <c r="E131" s="583">
        <v>5.0000000000000001E-3</v>
      </c>
      <c r="F131" s="583"/>
      <c r="G131" s="582">
        <v>8973</v>
      </c>
      <c r="H131" s="582">
        <v>1662</v>
      </c>
      <c r="I131" s="582"/>
      <c r="J131" s="582"/>
      <c r="K131" s="804"/>
      <c r="L131" s="584" t="s">
        <v>732</v>
      </c>
    </row>
    <row r="132" spans="1:12">
      <c r="A132" s="814"/>
      <c r="B132" s="806"/>
      <c r="C132" s="803"/>
      <c r="D132" s="582" t="s">
        <v>794</v>
      </c>
      <c r="E132" s="583">
        <v>0.01</v>
      </c>
      <c r="F132" s="583"/>
      <c r="G132" s="582">
        <v>8973</v>
      </c>
      <c r="H132" s="582">
        <v>1662</v>
      </c>
      <c r="I132" s="582"/>
      <c r="J132" s="582"/>
      <c r="K132" s="804"/>
      <c r="L132" s="584" t="s">
        <v>732</v>
      </c>
    </row>
    <row r="133" spans="1:12">
      <c r="A133" s="814"/>
      <c r="B133" s="806"/>
      <c r="C133" s="803"/>
      <c r="D133" s="582" t="s">
        <v>795</v>
      </c>
      <c r="E133" s="583">
        <v>0.02</v>
      </c>
      <c r="F133" s="583">
        <v>0.01</v>
      </c>
      <c r="G133" s="582">
        <v>8973</v>
      </c>
      <c r="H133" s="582">
        <v>1662</v>
      </c>
      <c r="I133" s="582">
        <v>8973</v>
      </c>
      <c r="J133" s="582">
        <v>1662</v>
      </c>
      <c r="K133" s="804"/>
      <c r="L133" s="584" t="s">
        <v>732</v>
      </c>
    </row>
    <row r="134" spans="1:12">
      <c r="A134" s="814"/>
      <c r="B134" s="806"/>
      <c r="C134" s="803"/>
      <c r="D134" s="582" t="s">
        <v>701</v>
      </c>
      <c r="E134" s="583">
        <v>0.1</v>
      </c>
      <c r="F134" s="583">
        <v>0.1</v>
      </c>
      <c r="G134" s="582">
        <v>12120</v>
      </c>
      <c r="H134" s="582">
        <v>745</v>
      </c>
      <c r="I134" s="582">
        <v>12120</v>
      </c>
      <c r="J134" s="582">
        <v>745</v>
      </c>
      <c r="K134" s="804"/>
      <c r="L134" s="584" t="s">
        <v>732</v>
      </c>
    </row>
    <row r="135" spans="1:12">
      <c r="A135" s="814"/>
      <c r="B135" s="806"/>
      <c r="C135" s="805" t="s">
        <v>824</v>
      </c>
      <c r="D135" s="582" t="s">
        <v>791</v>
      </c>
      <c r="E135" s="583">
        <v>0.2</v>
      </c>
      <c r="F135" s="583">
        <v>0.08</v>
      </c>
      <c r="G135" s="582">
        <v>11751</v>
      </c>
      <c r="H135" s="582">
        <v>1800</v>
      </c>
      <c r="I135" s="582">
        <v>11751</v>
      </c>
      <c r="J135" s="582">
        <v>1800</v>
      </c>
      <c r="K135" s="804">
        <v>3375</v>
      </c>
      <c r="L135" s="584" t="s">
        <v>732</v>
      </c>
    </row>
    <row r="136" spans="1:12">
      <c r="A136" s="814"/>
      <c r="B136" s="806"/>
      <c r="C136" s="805"/>
      <c r="D136" s="582" t="s">
        <v>792</v>
      </c>
      <c r="E136" s="583">
        <v>8.2000000000000003E-2</v>
      </c>
      <c r="F136" s="583">
        <v>0.02</v>
      </c>
      <c r="G136" s="582">
        <v>11751</v>
      </c>
      <c r="H136" s="582">
        <v>1800</v>
      </c>
      <c r="I136" s="582">
        <v>11751</v>
      </c>
      <c r="J136" s="582">
        <v>1800</v>
      </c>
      <c r="K136" s="804"/>
      <c r="L136" s="584" t="s">
        <v>732</v>
      </c>
    </row>
    <row r="137" spans="1:12">
      <c r="A137" s="814"/>
      <c r="B137" s="806"/>
      <c r="C137" s="805"/>
      <c r="D137" s="582" t="s">
        <v>793</v>
      </c>
      <c r="E137" s="583">
        <v>1.6E-2</v>
      </c>
      <c r="F137" s="583"/>
      <c r="G137" s="582">
        <v>11751</v>
      </c>
      <c r="H137" s="582">
        <v>1800</v>
      </c>
      <c r="I137" s="582"/>
      <c r="J137" s="582"/>
      <c r="K137" s="804"/>
      <c r="L137" s="584" t="s">
        <v>732</v>
      </c>
    </row>
    <row r="138" spans="1:12">
      <c r="A138" s="814"/>
      <c r="B138" s="806"/>
      <c r="C138" s="805"/>
      <c r="D138" s="582" t="s">
        <v>794</v>
      </c>
      <c r="E138" s="583">
        <v>8.9999999999999993E-3</v>
      </c>
      <c r="F138" s="583"/>
      <c r="G138" s="582">
        <v>11751</v>
      </c>
      <c r="H138" s="582">
        <v>1800</v>
      </c>
      <c r="I138" s="582"/>
      <c r="J138" s="582"/>
      <c r="K138" s="804"/>
      <c r="L138" s="584" t="s">
        <v>732</v>
      </c>
    </row>
    <row r="139" spans="1:12">
      <c r="A139" s="814"/>
      <c r="B139" s="806"/>
      <c r="C139" s="805"/>
      <c r="D139" s="582" t="s">
        <v>795</v>
      </c>
      <c r="E139" s="583">
        <v>0.02</v>
      </c>
      <c r="F139" s="583">
        <v>0.01</v>
      </c>
      <c r="G139" s="582">
        <v>11751</v>
      </c>
      <c r="H139" s="582">
        <v>1800</v>
      </c>
      <c r="I139" s="582">
        <v>11751</v>
      </c>
      <c r="J139" s="582">
        <v>1800</v>
      </c>
      <c r="K139" s="804"/>
      <c r="L139" s="584" t="s">
        <v>732</v>
      </c>
    </row>
    <row r="140" spans="1:12">
      <c r="A140" s="814"/>
      <c r="B140" s="806"/>
      <c r="C140" s="805"/>
      <c r="D140" s="582" t="s">
        <v>701</v>
      </c>
      <c r="E140" s="583" t="s">
        <v>825</v>
      </c>
      <c r="F140" s="583" t="s">
        <v>825</v>
      </c>
      <c r="G140" s="582">
        <v>12400</v>
      </c>
      <c r="H140" s="582">
        <v>960</v>
      </c>
      <c r="I140" s="582">
        <v>12400</v>
      </c>
      <c r="J140" s="582">
        <v>960</v>
      </c>
      <c r="K140" s="804"/>
      <c r="L140" s="584" t="s">
        <v>732</v>
      </c>
    </row>
    <row r="141" spans="1:12">
      <c r="A141" s="814"/>
      <c r="B141" s="806"/>
      <c r="C141" s="803" t="s">
        <v>826</v>
      </c>
      <c r="D141" s="582" t="s">
        <v>791</v>
      </c>
      <c r="E141" s="583">
        <v>0.21</v>
      </c>
      <c r="F141" s="583">
        <v>0.08</v>
      </c>
      <c r="G141" s="582">
        <v>10126</v>
      </c>
      <c r="H141" s="582">
        <v>1794</v>
      </c>
      <c r="I141" s="582">
        <v>8973</v>
      </c>
      <c r="J141" s="582">
        <v>1794</v>
      </c>
      <c r="K141" s="804">
        <v>2991</v>
      </c>
      <c r="L141" s="584" t="s">
        <v>732</v>
      </c>
    </row>
    <row r="142" spans="1:12">
      <c r="A142" s="814"/>
      <c r="B142" s="806"/>
      <c r="C142" s="803"/>
      <c r="D142" s="582" t="s">
        <v>792</v>
      </c>
      <c r="E142" s="583">
        <v>0.09</v>
      </c>
      <c r="F142" s="583">
        <v>2.5000000000000001E-2</v>
      </c>
      <c r="G142" s="582">
        <v>8973</v>
      </c>
      <c r="H142" s="582">
        <v>1794</v>
      </c>
      <c r="I142" s="582">
        <v>8973</v>
      </c>
      <c r="J142" s="582">
        <v>1794</v>
      </c>
      <c r="K142" s="804"/>
      <c r="L142" s="584" t="s">
        <v>735</v>
      </c>
    </row>
    <row r="143" spans="1:12">
      <c r="A143" s="814"/>
      <c r="B143" s="806"/>
      <c r="C143" s="803"/>
      <c r="D143" s="582" t="s">
        <v>793</v>
      </c>
      <c r="E143" s="583">
        <v>6.0000000000000001E-3</v>
      </c>
      <c r="F143" s="583"/>
      <c r="G143" s="582">
        <v>10126</v>
      </c>
      <c r="H143" s="582">
        <v>1794</v>
      </c>
      <c r="I143" s="582"/>
      <c r="J143" s="582"/>
      <c r="K143" s="804"/>
      <c r="L143" s="584" t="s">
        <v>732</v>
      </c>
    </row>
    <row r="144" spans="1:12">
      <c r="A144" s="814"/>
      <c r="B144" s="806"/>
      <c r="C144" s="803"/>
      <c r="D144" s="582" t="s">
        <v>794</v>
      </c>
      <c r="E144" s="583">
        <v>6.0000000000000001E-3</v>
      </c>
      <c r="F144" s="583"/>
      <c r="G144" s="582">
        <v>10126</v>
      </c>
      <c r="H144" s="582">
        <v>1794</v>
      </c>
      <c r="I144" s="582"/>
      <c r="J144" s="582"/>
      <c r="K144" s="804"/>
      <c r="L144" s="584" t="s">
        <v>732</v>
      </c>
    </row>
    <row r="145" spans="1:12">
      <c r="A145" s="814"/>
      <c r="B145" s="806"/>
      <c r="C145" s="803"/>
      <c r="D145" s="582" t="s">
        <v>795</v>
      </c>
      <c r="E145" s="583">
        <v>0.02</v>
      </c>
      <c r="F145" s="583">
        <v>0.01</v>
      </c>
      <c r="G145" s="582">
        <v>10126</v>
      </c>
      <c r="H145" s="582">
        <v>1794</v>
      </c>
      <c r="I145" s="582">
        <v>8973</v>
      </c>
      <c r="J145" s="582">
        <v>1794</v>
      </c>
      <c r="K145" s="804"/>
      <c r="L145" s="584" t="s">
        <v>732</v>
      </c>
    </row>
    <row r="146" spans="1:12">
      <c r="A146" s="814"/>
      <c r="B146" s="806"/>
      <c r="C146" s="803"/>
      <c r="D146" s="582" t="s">
        <v>701</v>
      </c>
      <c r="E146" s="583">
        <v>0.1</v>
      </c>
      <c r="F146" s="583">
        <v>0.1</v>
      </c>
      <c r="G146" s="582">
        <v>10300</v>
      </c>
      <c r="H146" s="582">
        <v>960</v>
      </c>
      <c r="I146" s="582">
        <v>10300</v>
      </c>
      <c r="J146" s="582">
        <v>960</v>
      </c>
      <c r="K146" s="804"/>
      <c r="L146" s="584" t="s">
        <v>827</v>
      </c>
    </row>
    <row r="147" spans="1:12" ht="65">
      <c r="A147" s="814"/>
      <c r="B147" s="806"/>
      <c r="C147" s="803" t="s">
        <v>828</v>
      </c>
      <c r="D147" s="582" t="s">
        <v>791</v>
      </c>
      <c r="E147" s="583" t="s">
        <v>829</v>
      </c>
      <c r="F147" s="583">
        <v>0.08</v>
      </c>
      <c r="G147" s="582" t="s">
        <v>746</v>
      </c>
      <c r="H147" s="582">
        <v>1724</v>
      </c>
      <c r="I147" s="582">
        <v>10126</v>
      </c>
      <c r="J147" s="582">
        <v>1724</v>
      </c>
      <c r="K147" s="804">
        <v>2874</v>
      </c>
      <c r="L147" s="584" t="s">
        <v>732</v>
      </c>
    </row>
    <row r="148" spans="1:12" ht="26">
      <c r="A148" s="814"/>
      <c r="B148" s="806"/>
      <c r="C148" s="803"/>
      <c r="D148" s="582" t="s">
        <v>792</v>
      </c>
      <c r="E148" s="583" t="s">
        <v>830</v>
      </c>
      <c r="F148" s="583" t="s">
        <v>831</v>
      </c>
      <c r="G148" s="582">
        <v>10126</v>
      </c>
      <c r="H148" s="582">
        <v>1724</v>
      </c>
      <c r="I148" s="582">
        <v>10126</v>
      </c>
      <c r="J148" s="582">
        <v>1724</v>
      </c>
      <c r="K148" s="804"/>
      <c r="L148" s="584" t="s">
        <v>732</v>
      </c>
    </row>
    <row r="149" spans="1:12">
      <c r="A149" s="814"/>
      <c r="B149" s="806"/>
      <c r="C149" s="803"/>
      <c r="D149" s="582" t="s">
        <v>793</v>
      </c>
      <c r="E149" s="583">
        <v>5.0000000000000001E-3</v>
      </c>
      <c r="F149" s="583"/>
      <c r="G149" s="582">
        <v>10126</v>
      </c>
      <c r="H149" s="582">
        <v>1724</v>
      </c>
      <c r="I149" s="582">
        <v>10126</v>
      </c>
      <c r="J149" s="582"/>
      <c r="K149" s="804"/>
      <c r="L149" s="584" t="s">
        <v>732</v>
      </c>
    </row>
    <row r="150" spans="1:12">
      <c r="A150" s="814"/>
      <c r="B150" s="806"/>
      <c r="C150" s="803"/>
      <c r="D150" s="582" t="s">
        <v>794</v>
      </c>
      <c r="E150" s="583">
        <v>0.01</v>
      </c>
      <c r="F150" s="583"/>
      <c r="G150" s="582">
        <v>10126</v>
      </c>
      <c r="H150" s="582">
        <v>1724</v>
      </c>
      <c r="I150" s="582">
        <v>10126</v>
      </c>
      <c r="J150" s="582"/>
      <c r="K150" s="804"/>
      <c r="L150" s="584" t="s">
        <v>732</v>
      </c>
    </row>
    <row r="151" spans="1:12">
      <c r="A151" s="814"/>
      <c r="B151" s="806"/>
      <c r="C151" s="803"/>
      <c r="D151" s="582" t="s">
        <v>795</v>
      </c>
      <c r="E151" s="583">
        <v>0.02</v>
      </c>
      <c r="F151" s="583">
        <v>0.01</v>
      </c>
      <c r="G151" s="582">
        <v>10126</v>
      </c>
      <c r="H151" s="582">
        <v>1724</v>
      </c>
      <c r="I151" s="582">
        <v>10126</v>
      </c>
      <c r="J151" s="582">
        <v>1724</v>
      </c>
      <c r="K151" s="804"/>
      <c r="L151" s="584" t="s">
        <v>732</v>
      </c>
    </row>
    <row r="152" spans="1:12" ht="26">
      <c r="A152" s="814"/>
      <c r="B152" s="806"/>
      <c r="C152" s="803" t="s">
        <v>832</v>
      </c>
      <c r="D152" s="582" t="s">
        <v>701</v>
      </c>
      <c r="E152" s="583" t="s">
        <v>833</v>
      </c>
      <c r="F152" s="583" t="s">
        <v>833</v>
      </c>
      <c r="G152" s="582">
        <v>8500</v>
      </c>
      <c r="H152" s="582">
        <v>1724</v>
      </c>
      <c r="I152" s="582">
        <v>8500</v>
      </c>
      <c r="J152" s="582">
        <v>1724</v>
      </c>
      <c r="K152" s="804"/>
      <c r="L152" s="584" t="s">
        <v>834</v>
      </c>
    </row>
    <row r="153" spans="1:12">
      <c r="A153" s="814"/>
      <c r="B153" s="806"/>
      <c r="C153" s="805" t="s">
        <v>832</v>
      </c>
      <c r="D153" s="582" t="s">
        <v>791</v>
      </c>
      <c r="E153" s="583">
        <v>0.20499999999999999</v>
      </c>
      <c r="F153" s="583">
        <v>0.08</v>
      </c>
      <c r="G153" s="582">
        <v>11054</v>
      </c>
      <c r="H153" s="582">
        <v>1794</v>
      </c>
      <c r="I153" s="582">
        <v>11054</v>
      </c>
      <c r="J153" s="582">
        <v>1794</v>
      </c>
      <c r="K153" s="804">
        <v>2991</v>
      </c>
      <c r="L153" s="584" t="s">
        <v>834</v>
      </c>
    </row>
    <row r="154" spans="1:12">
      <c r="A154" s="814"/>
      <c r="B154" s="806"/>
      <c r="C154" s="805"/>
      <c r="D154" s="582" t="s">
        <v>792</v>
      </c>
      <c r="E154" s="583">
        <v>0.08</v>
      </c>
      <c r="F154" s="583">
        <v>0.02</v>
      </c>
      <c r="G154" s="582">
        <v>11054</v>
      </c>
      <c r="H154" s="582">
        <v>1794</v>
      </c>
      <c r="I154" s="582">
        <v>11054</v>
      </c>
      <c r="J154" s="582">
        <v>1794</v>
      </c>
      <c r="K154" s="804"/>
      <c r="L154" s="584" t="s">
        <v>834</v>
      </c>
    </row>
    <row r="155" spans="1:12">
      <c r="A155" s="814"/>
      <c r="B155" s="806"/>
      <c r="C155" s="805"/>
      <c r="D155" s="582" t="s">
        <v>793</v>
      </c>
      <c r="E155" s="583">
        <v>5.0000000000000001E-3</v>
      </c>
      <c r="F155" s="583"/>
      <c r="G155" s="582">
        <v>11054</v>
      </c>
      <c r="H155" s="582">
        <v>1794</v>
      </c>
      <c r="I155" s="582"/>
      <c r="J155" s="582"/>
      <c r="K155" s="804"/>
      <c r="L155" s="584" t="s">
        <v>834</v>
      </c>
    </row>
    <row r="156" spans="1:12">
      <c r="A156" s="814"/>
      <c r="B156" s="806"/>
      <c r="C156" s="805"/>
      <c r="D156" s="582" t="s">
        <v>794</v>
      </c>
      <c r="E156" s="583">
        <v>8.0000000000000002E-3</v>
      </c>
      <c r="F156" s="583"/>
      <c r="G156" s="582">
        <v>11054</v>
      </c>
      <c r="H156" s="582">
        <v>1794</v>
      </c>
      <c r="I156" s="582"/>
      <c r="J156" s="582"/>
      <c r="K156" s="804"/>
      <c r="L156" s="584" t="s">
        <v>834</v>
      </c>
    </row>
    <row r="157" spans="1:12">
      <c r="A157" s="814"/>
      <c r="B157" s="806"/>
      <c r="C157" s="805"/>
      <c r="D157" s="582" t="s">
        <v>795</v>
      </c>
      <c r="E157" s="583">
        <v>0.02</v>
      </c>
      <c r="F157" s="583">
        <v>0.01</v>
      </c>
      <c r="G157" s="582">
        <v>11054</v>
      </c>
      <c r="H157" s="582">
        <v>1794</v>
      </c>
      <c r="I157" s="582">
        <v>11054</v>
      </c>
      <c r="J157" s="582">
        <v>1794</v>
      </c>
      <c r="K157" s="804"/>
      <c r="L157" s="584" t="s">
        <v>834</v>
      </c>
    </row>
    <row r="158" spans="1:12">
      <c r="A158" s="814"/>
      <c r="B158" s="806"/>
      <c r="C158" s="805"/>
      <c r="D158" s="582" t="s">
        <v>701</v>
      </c>
      <c r="E158" s="583">
        <v>0.1</v>
      </c>
      <c r="F158" s="583">
        <v>0.1</v>
      </c>
      <c r="G158" s="582">
        <v>11050</v>
      </c>
      <c r="H158" s="582">
        <v>1140</v>
      </c>
      <c r="I158" s="582">
        <v>11050</v>
      </c>
      <c r="J158" s="582">
        <v>1140</v>
      </c>
      <c r="K158" s="804"/>
      <c r="L158" s="584" t="s">
        <v>834</v>
      </c>
    </row>
    <row r="159" spans="1:12">
      <c r="A159" s="814"/>
      <c r="B159" s="806" t="s">
        <v>835</v>
      </c>
      <c r="C159" s="808" t="s">
        <v>836</v>
      </c>
      <c r="D159" s="582" t="s">
        <v>791</v>
      </c>
      <c r="E159" s="583">
        <v>0.14000000000000001</v>
      </c>
      <c r="F159" s="583">
        <v>0.08</v>
      </c>
      <c r="G159" s="582">
        <v>7662.5</v>
      </c>
      <c r="H159" s="582">
        <v>1532.5</v>
      </c>
      <c r="I159" s="582">
        <v>7662.5</v>
      </c>
      <c r="J159" s="582">
        <v>1532.5</v>
      </c>
      <c r="K159" s="804">
        <v>2554.1</v>
      </c>
      <c r="L159" s="584" t="s">
        <v>717</v>
      </c>
    </row>
    <row r="160" spans="1:12">
      <c r="A160" s="814"/>
      <c r="B160" s="806"/>
      <c r="C160" s="809"/>
      <c r="D160" s="582" t="s">
        <v>792</v>
      </c>
      <c r="E160" s="583">
        <v>0.115</v>
      </c>
      <c r="F160" s="583">
        <v>0.02</v>
      </c>
      <c r="G160" s="582">
        <v>7662.5</v>
      </c>
      <c r="H160" s="582">
        <v>1532.5</v>
      </c>
      <c r="I160" s="582">
        <v>7662.5</v>
      </c>
      <c r="J160" s="582">
        <v>1532.5</v>
      </c>
      <c r="K160" s="804"/>
      <c r="L160" s="584" t="s">
        <v>717</v>
      </c>
    </row>
    <row r="161" spans="1:12">
      <c r="A161" s="814"/>
      <c r="B161" s="806"/>
      <c r="C161" s="809"/>
      <c r="D161" s="582" t="s">
        <v>793</v>
      </c>
      <c r="E161" s="583">
        <v>5.0000000000000001E-3</v>
      </c>
      <c r="F161" s="583"/>
      <c r="G161" s="582">
        <v>7662.5</v>
      </c>
      <c r="H161" s="582">
        <v>1532.5</v>
      </c>
      <c r="I161" s="582"/>
      <c r="J161" s="582"/>
      <c r="K161" s="804"/>
      <c r="L161" s="584" t="s">
        <v>717</v>
      </c>
    </row>
    <row r="162" spans="1:12">
      <c r="A162" s="814"/>
      <c r="B162" s="806"/>
      <c r="C162" s="809"/>
      <c r="D162" s="582" t="s">
        <v>794</v>
      </c>
      <c r="E162" s="583">
        <v>5.0000000000000001E-3</v>
      </c>
      <c r="F162" s="583"/>
      <c r="G162" s="582">
        <v>7662.5</v>
      </c>
      <c r="H162" s="582">
        <v>1532.5</v>
      </c>
      <c r="I162" s="582"/>
      <c r="J162" s="582"/>
      <c r="K162" s="804"/>
      <c r="L162" s="584" t="s">
        <v>717</v>
      </c>
    </row>
    <row r="163" spans="1:12" ht="26">
      <c r="A163" s="814"/>
      <c r="B163" s="806"/>
      <c r="C163" s="809"/>
      <c r="D163" s="582" t="s">
        <v>795</v>
      </c>
      <c r="E163" s="583">
        <v>0.02</v>
      </c>
      <c r="F163" s="583" t="s">
        <v>837</v>
      </c>
      <c r="G163" s="582">
        <v>7662.5</v>
      </c>
      <c r="H163" s="582">
        <v>1532.5</v>
      </c>
      <c r="I163" s="582">
        <v>7662.5</v>
      </c>
      <c r="J163" s="582">
        <v>1532.5</v>
      </c>
      <c r="K163" s="804"/>
      <c r="L163" s="584" t="s">
        <v>717</v>
      </c>
    </row>
    <row r="164" spans="1:12">
      <c r="A164" s="814"/>
      <c r="B164" s="806"/>
      <c r="C164" s="810"/>
      <c r="D164" s="582" t="s">
        <v>701</v>
      </c>
      <c r="E164" s="583">
        <v>0.12</v>
      </c>
      <c r="F164" s="583">
        <v>0.12</v>
      </c>
      <c r="G164" s="582">
        <v>12193</v>
      </c>
      <c r="H164" s="582">
        <v>1310</v>
      </c>
      <c r="I164" s="582">
        <v>12193</v>
      </c>
      <c r="J164" s="582">
        <v>1310</v>
      </c>
      <c r="K164" s="804"/>
      <c r="L164" s="584" t="s">
        <v>838</v>
      </c>
    </row>
    <row r="165" spans="1:12">
      <c r="A165" s="814"/>
      <c r="B165" s="815"/>
      <c r="C165" s="803" t="s">
        <v>839</v>
      </c>
      <c r="D165" s="582" t="s">
        <v>791</v>
      </c>
      <c r="E165" s="583">
        <v>0.14000000000000001</v>
      </c>
      <c r="F165" s="583">
        <v>0.08</v>
      </c>
      <c r="G165" s="582">
        <v>7662</v>
      </c>
      <c r="H165" s="582">
        <v>1532.4</v>
      </c>
      <c r="I165" s="582">
        <v>7662</v>
      </c>
      <c r="J165" s="582">
        <v>1532.4</v>
      </c>
      <c r="K165" s="804">
        <v>2554</v>
      </c>
      <c r="L165" s="584" t="s">
        <v>840</v>
      </c>
    </row>
    <row r="166" spans="1:12">
      <c r="A166" s="814"/>
      <c r="B166" s="815"/>
      <c r="C166" s="803"/>
      <c r="D166" s="582" t="s">
        <v>792</v>
      </c>
      <c r="E166" s="583">
        <v>9.5000000000000001E-2</v>
      </c>
      <c r="F166" s="583" t="s">
        <v>841</v>
      </c>
      <c r="G166" s="582">
        <v>2554</v>
      </c>
      <c r="H166" s="582">
        <v>2554</v>
      </c>
      <c r="I166" s="582">
        <v>2554</v>
      </c>
      <c r="J166" s="582">
        <v>2554</v>
      </c>
      <c r="K166" s="804">
        <v>37608</v>
      </c>
      <c r="L166" s="584" t="s">
        <v>840</v>
      </c>
    </row>
    <row r="167" spans="1:12">
      <c r="A167" s="814"/>
      <c r="B167" s="815"/>
      <c r="C167" s="803"/>
      <c r="D167" s="582" t="s">
        <v>793</v>
      </c>
      <c r="E167" s="583">
        <v>4.0000000000000001E-3</v>
      </c>
      <c r="F167" s="583"/>
      <c r="G167" s="582">
        <v>7662</v>
      </c>
      <c r="H167" s="582">
        <v>1532.4</v>
      </c>
      <c r="I167" s="582">
        <v>7662</v>
      </c>
      <c r="J167" s="582">
        <v>1532.4</v>
      </c>
      <c r="K167" s="804">
        <v>37608</v>
      </c>
      <c r="L167" s="584" t="s">
        <v>840</v>
      </c>
    </row>
    <row r="168" spans="1:12">
      <c r="A168" s="814"/>
      <c r="B168" s="815"/>
      <c r="C168" s="803"/>
      <c r="D168" s="582" t="s">
        <v>794</v>
      </c>
      <c r="E168" s="583">
        <v>6.0000000000000001E-3</v>
      </c>
      <c r="F168" s="583"/>
      <c r="G168" s="582">
        <v>7662</v>
      </c>
      <c r="H168" s="582">
        <v>1532.4</v>
      </c>
      <c r="I168" s="582">
        <v>7662</v>
      </c>
      <c r="J168" s="582">
        <v>1532.4</v>
      </c>
      <c r="K168" s="804">
        <v>37608</v>
      </c>
      <c r="L168" s="584" t="s">
        <v>840</v>
      </c>
    </row>
    <row r="169" spans="1:12">
      <c r="A169" s="814"/>
      <c r="B169" s="815"/>
      <c r="C169" s="803"/>
      <c r="D169" s="582" t="s">
        <v>795</v>
      </c>
      <c r="E169" s="583">
        <v>0.02</v>
      </c>
      <c r="F169" s="583">
        <v>0.01</v>
      </c>
      <c r="G169" s="582">
        <v>7662</v>
      </c>
      <c r="H169" s="582">
        <v>1532.4</v>
      </c>
      <c r="I169" s="582">
        <v>7662</v>
      </c>
      <c r="J169" s="582">
        <v>1532.4</v>
      </c>
      <c r="K169" s="804">
        <v>37608</v>
      </c>
      <c r="L169" s="584" t="s">
        <v>840</v>
      </c>
    </row>
    <row r="170" spans="1:12">
      <c r="A170" s="814"/>
      <c r="B170" s="815"/>
      <c r="C170" s="803"/>
      <c r="D170" s="582" t="s">
        <v>701</v>
      </c>
      <c r="E170" s="583">
        <v>0.12</v>
      </c>
      <c r="F170" s="583">
        <v>0.12</v>
      </c>
      <c r="G170" s="582">
        <v>8474</v>
      </c>
      <c r="H170" s="582">
        <v>1695</v>
      </c>
      <c r="I170" s="582">
        <v>8474</v>
      </c>
      <c r="J170" s="582">
        <v>1695</v>
      </c>
      <c r="K170" s="804">
        <v>37608</v>
      </c>
      <c r="L170" s="584" t="s">
        <v>838</v>
      </c>
    </row>
    <row r="171" spans="1:12" ht="26">
      <c r="A171" s="814"/>
      <c r="B171" s="815"/>
      <c r="C171" s="804" t="s">
        <v>842</v>
      </c>
      <c r="D171" s="582" t="s">
        <v>791</v>
      </c>
      <c r="E171" s="583">
        <v>0.12</v>
      </c>
      <c r="F171" s="583">
        <v>0.08</v>
      </c>
      <c r="G171" s="582">
        <v>8423</v>
      </c>
      <c r="H171" s="585" t="s">
        <v>843</v>
      </c>
      <c r="I171" s="582">
        <v>8423</v>
      </c>
      <c r="J171" s="585" t="s">
        <v>843</v>
      </c>
      <c r="K171" s="804">
        <v>2808</v>
      </c>
      <c r="L171" s="584" t="s">
        <v>717</v>
      </c>
    </row>
    <row r="172" spans="1:12" ht="26">
      <c r="A172" s="814"/>
      <c r="B172" s="815"/>
      <c r="C172" s="804"/>
      <c r="D172" s="582" t="s">
        <v>792</v>
      </c>
      <c r="E172" s="583" t="s">
        <v>844</v>
      </c>
      <c r="F172" s="583" t="s">
        <v>845</v>
      </c>
      <c r="G172" s="582">
        <v>8423</v>
      </c>
      <c r="H172" s="585" t="s">
        <v>843</v>
      </c>
      <c r="I172" s="582">
        <v>8423</v>
      </c>
      <c r="J172" s="585" t="s">
        <v>843</v>
      </c>
      <c r="K172" s="804"/>
      <c r="L172" s="584" t="s">
        <v>717</v>
      </c>
    </row>
    <row r="173" spans="1:12" ht="26">
      <c r="A173" s="814"/>
      <c r="B173" s="815"/>
      <c r="C173" s="804"/>
      <c r="D173" s="582" t="s">
        <v>793</v>
      </c>
      <c r="E173" s="583">
        <v>4.0000000000000001E-3</v>
      </c>
      <c r="F173" s="583"/>
      <c r="G173" s="582">
        <v>8423</v>
      </c>
      <c r="H173" s="585" t="s">
        <v>843</v>
      </c>
      <c r="I173" s="582"/>
      <c r="J173" s="585"/>
      <c r="K173" s="804"/>
      <c r="L173" s="584" t="s">
        <v>717</v>
      </c>
    </row>
    <row r="174" spans="1:12" ht="26">
      <c r="A174" s="814"/>
      <c r="B174" s="815"/>
      <c r="C174" s="804"/>
      <c r="D174" s="582" t="s">
        <v>794</v>
      </c>
      <c r="E174" s="583">
        <v>7.0000000000000001E-3</v>
      </c>
      <c r="F174" s="583"/>
      <c r="G174" s="582">
        <v>8423</v>
      </c>
      <c r="H174" s="585" t="s">
        <v>843</v>
      </c>
      <c r="I174" s="582"/>
      <c r="J174" s="585"/>
      <c r="K174" s="804"/>
      <c r="L174" s="584" t="s">
        <v>717</v>
      </c>
    </row>
    <row r="175" spans="1:12" ht="26">
      <c r="A175" s="814"/>
      <c r="B175" s="815"/>
      <c r="C175" s="804"/>
      <c r="D175" s="582" t="s">
        <v>795</v>
      </c>
      <c r="E175" s="583">
        <v>0.02</v>
      </c>
      <c r="F175" s="583" t="s">
        <v>846</v>
      </c>
      <c r="G175" s="582">
        <v>8423</v>
      </c>
      <c r="H175" s="585" t="s">
        <v>843</v>
      </c>
      <c r="I175" s="582">
        <v>8423</v>
      </c>
      <c r="J175" s="585" t="s">
        <v>843</v>
      </c>
      <c r="K175" s="804"/>
      <c r="L175" s="584" t="s">
        <v>717</v>
      </c>
    </row>
    <row r="176" spans="1:12">
      <c r="A176" s="814"/>
      <c r="B176" s="815"/>
      <c r="C176" s="804"/>
      <c r="D176" s="582" t="s">
        <v>701</v>
      </c>
      <c r="E176" s="583">
        <v>0.08</v>
      </c>
      <c r="F176" s="583">
        <v>0.08</v>
      </c>
      <c r="G176" s="582">
        <v>18115</v>
      </c>
      <c r="H176" s="582">
        <v>1310</v>
      </c>
      <c r="I176" s="582">
        <v>18115</v>
      </c>
      <c r="J176" s="582">
        <v>1310</v>
      </c>
      <c r="K176" s="804"/>
      <c r="L176" s="584" t="s">
        <v>847</v>
      </c>
    </row>
    <row r="177" spans="1:12">
      <c r="A177" s="814"/>
      <c r="B177" s="815"/>
      <c r="C177" s="804" t="s">
        <v>848</v>
      </c>
      <c r="D177" s="582" t="s">
        <v>791</v>
      </c>
      <c r="E177" s="583">
        <v>0.14000000000000001</v>
      </c>
      <c r="F177" s="583">
        <v>0.08</v>
      </c>
      <c r="G177" s="582">
        <v>7662</v>
      </c>
      <c r="H177" s="582">
        <v>1533</v>
      </c>
      <c r="I177" s="582">
        <v>7662</v>
      </c>
      <c r="J177" s="582">
        <v>1533</v>
      </c>
      <c r="K177" s="804">
        <v>2555</v>
      </c>
      <c r="L177" s="584" t="s">
        <v>849</v>
      </c>
    </row>
    <row r="178" spans="1:12">
      <c r="A178" s="814"/>
      <c r="B178" s="815"/>
      <c r="C178" s="804"/>
      <c r="D178" s="582" t="s">
        <v>792</v>
      </c>
      <c r="E178" s="583">
        <v>0.08</v>
      </c>
      <c r="F178" s="583">
        <v>0.02</v>
      </c>
      <c r="G178" s="582">
        <v>2112</v>
      </c>
      <c r="H178" s="582">
        <v>2112</v>
      </c>
      <c r="I178" s="582">
        <v>2112</v>
      </c>
      <c r="J178" s="582">
        <v>2112</v>
      </c>
      <c r="K178" s="804"/>
      <c r="L178" s="584" t="s">
        <v>849</v>
      </c>
    </row>
    <row r="179" spans="1:12">
      <c r="A179" s="814"/>
      <c r="B179" s="815"/>
      <c r="C179" s="804"/>
      <c r="D179" s="582" t="s">
        <v>793</v>
      </c>
      <c r="E179" s="583">
        <v>5.0000000000000001E-3</v>
      </c>
      <c r="F179" s="583"/>
      <c r="G179" s="582">
        <v>7662</v>
      </c>
      <c r="H179" s="582">
        <v>1533</v>
      </c>
      <c r="I179" s="582">
        <v>7662</v>
      </c>
      <c r="J179" s="582">
        <v>1533</v>
      </c>
      <c r="K179" s="804"/>
      <c r="L179" s="584" t="s">
        <v>849</v>
      </c>
    </row>
    <row r="180" spans="1:12">
      <c r="A180" s="814"/>
      <c r="B180" s="815"/>
      <c r="C180" s="804"/>
      <c r="D180" s="582" t="s">
        <v>794</v>
      </c>
      <c r="E180" s="583">
        <v>8.0000000000000002E-3</v>
      </c>
      <c r="F180" s="583"/>
      <c r="G180" s="582">
        <v>7662</v>
      </c>
      <c r="H180" s="582">
        <v>1533</v>
      </c>
      <c r="I180" s="582">
        <v>7662</v>
      </c>
      <c r="J180" s="582">
        <v>1533</v>
      </c>
      <c r="K180" s="804"/>
      <c r="L180" s="584" t="s">
        <v>849</v>
      </c>
    </row>
    <row r="181" spans="1:12">
      <c r="A181" s="814"/>
      <c r="B181" s="815"/>
      <c r="C181" s="804"/>
      <c r="D181" s="582" t="s">
        <v>795</v>
      </c>
      <c r="E181" s="583">
        <v>0.02</v>
      </c>
      <c r="F181" s="583" t="s">
        <v>850</v>
      </c>
      <c r="G181" s="582">
        <v>7662</v>
      </c>
      <c r="H181" s="582">
        <v>1533</v>
      </c>
      <c r="I181" s="582">
        <v>7662</v>
      </c>
      <c r="J181" s="582">
        <v>1533</v>
      </c>
      <c r="K181" s="804"/>
      <c r="L181" s="584" t="s">
        <v>849</v>
      </c>
    </row>
    <row r="182" spans="1:12">
      <c r="A182" s="814"/>
      <c r="B182" s="815"/>
      <c r="C182" s="804"/>
      <c r="D182" s="582" t="s">
        <v>701</v>
      </c>
      <c r="E182" s="583">
        <v>0.09</v>
      </c>
      <c r="F182" s="583">
        <v>0.09</v>
      </c>
      <c r="G182" s="582">
        <v>9648</v>
      </c>
      <c r="H182" s="582">
        <v>1160</v>
      </c>
      <c r="I182" s="582">
        <v>9648</v>
      </c>
      <c r="J182" s="582">
        <v>1160</v>
      </c>
      <c r="K182" s="804"/>
      <c r="L182" s="584" t="s">
        <v>851</v>
      </c>
    </row>
    <row r="183" spans="1:12">
      <c r="A183" s="814"/>
      <c r="B183" s="815"/>
      <c r="C183" s="804" t="s">
        <v>852</v>
      </c>
      <c r="D183" s="582" t="s">
        <v>791</v>
      </c>
      <c r="E183" s="583">
        <v>0.16</v>
      </c>
      <c r="F183" s="583">
        <v>0.08</v>
      </c>
      <c r="G183" s="582">
        <v>7665</v>
      </c>
      <c r="H183" s="582">
        <v>1553</v>
      </c>
      <c r="I183" s="582">
        <v>7665</v>
      </c>
      <c r="J183" s="582">
        <v>1553</v>
      </c>
      <c r="K183" s="804">
        <v>2554</v>
      </c>
      <c r="L183" s="584" t="s">
        <v>838</v>
      </c>
    </row>
    <row r="184" spans="1:12">
      <c r="A184" s="814"/>
      <c r="B184" s="815"/>
      <c r="C184" s="804"/>
      <c r="D184" s="582" t="s">
        <v>792</v>
      </c>
      <c r="E184" s="583">
        <v>8.5000000000000006E-2</v>
      </c>
      <c r="F184" s="583">
        <v>0.01</v>
      </c>
      <c r="G184" s="582">
        <v>7665</v>
      </c>
      <c r="H184" s="582">
        <v>1553</v>
      </c>
      <c r="I184" s="582">
        <v>7665</v>
      </c>
      <c r="J184" s="582">
        <v>1553</v>
      </c>
      <c r="K184" s="804"/>
      <c r="L184" s="584" t="s">
        <v>838</v>
      </c>
    </row>
    <row r="185" spans="1:12">
      <c r="A185" s="814"/>
      <c r="B185" s="815"/>
      <c r="C185" s="804"/>
      <c r="D185" s="582" t="s">
        <v>793</v>
      </c>
      <c r="E185" s="583">
        <v>5.0000000000000001E-3</v>
      </c>
      <c r="F185" s="583"/>
      <c r="G185" s="582">
        <v>7665</v>
      </c>
      <c r="H185" s="582">
        <v>1553</v>
      </c>
      <c r="I185" s="582"/>
      <c r="J185" s="582"/>
      <c r="K185" s="804"/>
      <c r="L185" s="584" t="s">
        <v>838</v>
      </c>
    </row>
    <row r="186" spans="1:12">
      <c r="A186" s="814"/>
      <c r="B186" s="815"/>
      <c r="C186" s="804"/>
      <c r="D186" s="582" t="s">
        <v>794</v>
      </c>
      <c r="E186" s="583">
        <v>6.0000000000000001E-3</v>
      </c>
      <c r="F186" s="583"/>
      <c r="G186" s="582">
        <v>7665</v>
      </c>
      <c r="H186" s="582">
        <v>1553</v>
      </c>
      <c r="I186" s="582"/>
      <c r="J186" s="582"/>
      <c r="K186" s="804"/>
      <c r="L186" s="584" t="s">
        <v>838</v>
      </c>
    </row>
    <row r="187" spans="1:12">
      <c r="A187" s="814"/>
      <c r="B187" s="815"/>
      <c r="C187" s="804"/>
      <c r="D187" s="582" t="s">
        <v>795</v>
      </c>
      <c r="E187" s="583">
        <v>0.02</v>
      </c>
      <c r="F187" s="583">
        <v>0.01</v>
      </c>
      <c r="G187" s="582">
        <v>7665</v>
      </c>
      <c r="H187" s="582">
        <v>1553</v>
      </c>
      <c r="I187" s="582">
        <v>7665</v>
      </c>
      <c r="J187" s="582">
        <v>1553</v>
      </c>
      <c r="K187" s="804"/>
      <c r="L187" s="584" t="s">
        <v>838</v>
      </c>
    </row>
    <row r="188" spans="1:12">
      <c r="A188" s="814"/>
      <c r="B188" s="815"/>
      <c r="C188" s="804"/>
      <c r="D188" s="582" t="s">
        <v>701</v>
      </c>
      <c r="E188" s="583">
        <v>0.08</v>
      </c>
      <c r="F188" s="583">
        <v>0.08</v>
      </c>
      <c r="G188" s="582">
        <v>15200</v>
      </c>
      <c r="H188" s="582">
        <v>1553</v>
      </c>
      <c r="I188" s="582">
        <v>15200</v>
      </c>
      <c r="J188" s="582">
        <v>1553</v>
      </c>
      <c r="K188" s="804"/>
      <c r="L188" s="584" t="s">
        <v>853</v>
      </c>
    </row>
    <row r="189" spans="1:12">
      <c r="A189" s="814"/>
      <c r="B189" s="815"/>
      <c r="C189" s="798" t="s">
        <v>854</v>
      </c>
      <c r="D189" s="582" t="s">
        <v>791</v>
      </c>
      <c r="E189" s="583">
        <v>0.14000000000000001</v>
      </c>
      <c r="F189" s="583">
        <v>0.08</v>
      </c>
      <c r="G189" s="582">
        <v>7663</v>
      </c>
      <c r="H189" s="582">
        <v>1533</v>
      </c>
      <c r="I189" s="582">
        <v>7663</v>
      </c>
      <c r="J189" s="582">
        <v>1533</v>
      </c>
      <c r="K189" s="804">
        <v>2554</v>
      </c>
      <c r="L189" s="584" t="s">
        <v>855</v>
      </c>
    </row>
    <row r="190" spans="1:12">
      <c r="A190" s="814"/>
      <c r="B190" s="815"/>
      <c r="C190" s="798"/>
      <c r="D190" s="582" t="s">
        <v>792</v>
      </c>
      <c r="E190" s="583">
        <v>0.08</v>
      </c>
      <c r="F190" s="583"/>
      <c r="G190" s="582">
        <v>7663</v>
      </c>
      <c r="H190" s="582">
        <v>2554</v>
      </c>
      <c r="I190" s="582"/>
      <c r="J190" s="582"/>
      <c r="K190" s="804">
        <v>30650</v>
      </c>
      <c r="L190" s="584" t="s">
        <v>855</v>
      </c>
    </row>
    <row r="191" spans="1:12">
      <c r="A191" s="814"/>
      <c r="B191" s="815"/>
      <c r="C191" s="798"/>
      <c r="D191" s="582" t="s">
        <v>793</v>
      </c>
      <c r="E191" s="583">
        <v>5.0000000000000001E-3</v>
      </c>
      <c r="F191" s="583"/>
      <c r="G191" s="582">
        <v>7663</v>
      </c>
      <c r="H191" s="582">
        <v>2554</v>
      </c>
      <c r="I191" s="582"/>
      <c r="J191" s="582"/>
      <c r="K191" s="804">
        <v>30650</v>
      </c>
      <c r="L191" s="584" t="s">
        <v>855</v>
      </c>
    </row>
    <row r="192" spans="1:12">
      <c r="A192" s="814"/>
      <c r="B192" s="815"/>
      <c r="C192" s="798"/>
      <c r="D192" s="582" t="s">
        <v>794</v>
      </c>
      <c r="E192" s="583">
        <v>8.0000000000000002E-3</v>
      </c>
      <c r="F192" s="583"/>
      <c r="G192" s="582">
        <v>7663</v>
      </c>
      <c r="H192" s="582">
        <v>2554</v>
      </c>
      <c r="I192" s="582"/>
      <c r="J192" s="582"/>
      <c r="K192" s="804">
        <v>30650</v>
      </c>
      <c r="L192" s="584" t="s">
        <v>855</v>
      </c>
    </row>
    <row r="193" spans="1:12">
      <c r="A193" s="814"/>
      <c r="B193" s="815"/>
      <c r="C193" s="798"/>
      <c r="D193" s="582" t="s">
        <v>795</v>
      </c>
      <c r="E193" s="583">
        <v>0.02</v>
      </c>
      <c r="F193" s="583">
        <v>0.01</v>
      </c>
      <c r="G193" s="582">
        <v>7663</v>
      </c>
      <c r="H193" s="582">
        <v>2554</v>
      </c>
      <c r="I193" s="582">
        <v>7663</v>
      </c>
      <c r="J193" s="582">
        <v>1533</v>
      </c>
      <c r="K193" s="804">
        <v>30650</v>
      </c>
      <c r="L193" s="584" t="s">
        <v>855</v>
      </c>
    </row>
    <row r="194" spans="1:12">
      <c r="A194" s="814"/>
      <c r="B194" s="815"/>
      <c r="C194" s="798"/>
      <c r="D194" s="582" t="s">
        <v>701</v>
      </c>
      <c r="E194" s="583">
        <v>0.08</v>
      </c>
      <c r="F194" s="583">
        <v>0.08</v>
      </c>
      <c r="G194" s="582">
        <v>22062</v>
      </c>
      <c r="H194" s="582">
        <v>1100</v>
      </c>
      <c r="I194" s="582">
        <v>22062</v>
      </c>
      <c r="J194" s="582">
        <v>1100</v>
      </c>
      <c r="K194" s="804">
        <v>30650</v>
      </c>
      <c r="L194" s="584" t="s">
        <v>855</v>
      </c>
    </row>
    <row r="195" spans="1:12">
      <c r="A195" s="814"/>
      <c r="B195" s="806" t="s">
        <v>856</v>
      </c>
      <c r="C195" s="798" t="s">
        <v>857</v>
      </c>
      <c r="D195" s="582" t="s">
        <v>791</v>
      </c>
      <c r="E195" s="583">
        <v>0.2</v>
      </c>
      <c r="F195" s="583">
        <v>0.08</v>
      </c>
      <c r="G195" s="582">
        <v>8586</v>
      </c>
      <c r="H195" s="582">
        <v>1718</v>
      </c>
      <c r="I195" s="582">
        <v>8586</v>
      </c>
      <c r="J195" s="582">
        <v>1718</v>
      </c>
      <c r="K195" s="804">
        <v>2862</v>
      </c>
      <c r="L195" s="584"/>
    </row>
    <row r="196" spans="1:12">
      <c r="A196" s="814"/>
      <c r="B196" s="806"/>
      <c r="C196" s="798"/>
      <c r="D196" s="582" t="s">
        <v>792</v>
      </c>
      <c r="E196" s="583">
        <v>0.08</v>
      </c>
      <c r="F196" s="583">
        <v>0.02</v>
      </c>
      <c r="G196" s="582">
        <v>8586</v>
      </c>
      <c r="H196" s="582">
        <v>1718</v>
      </c>
      <c r="I196" s="582">
        <v>8586</v>
      </c>
      <c r="J196" s="582">
        <v>1718</v>
      </c>
      <c r="K196" s="804"/>
      <c r="L196" s="584"/>
    </row>
    <row r="197" spans="1:12">
      <c r="A197" s="814"/>
      <c r="B197" s="806"/>
      <c r="C197" s="798"/>
      <c r="D197" s="582" t="s">
        <v>793</v>
      </c>
      <c r="E197" s="583">
        <v>5.0000000000000001E-3</v>
      </c>
      <c r="F197" s="583"/>
      <c r="G197" s="582">
        <v>8586</v>
      </c>
      <c r="H197" s="582">
        <v>1718</v>
      </c>
      <c r="I197" s="582"/>
      <c r="J197" s="582"/>
      <c r="K197" s="804"/>
      <c r="L197" s="584"/>
    </row>
    <row r="198" spans="1:12">
      <c r="A198" s="814"/>
      <c r="B198" s="806"/>
      <c r="C198" s="798"/>
      <c r="D198" s="582" t="s">
        <v>794</v>
      </c>
      <c r="E198" s="583">
        <v>8.0000000000000002E-3</v>
      </c>
      <c r="F198" s="583"/>
      <c r="G198" s="582">
        <v>8586</v>
      </c>
      <c r="H198" s="582">
        <v>1718</v>
      </c>
      <c r="I198" s="582"/>
      <c r="J198" s="582"/>
      <c r="K198" s="804"/>
      <c r="L198" s="584"/>
    </row>
    <row r="199" spans="1:12">
      <c r="A199" s="814"/>
      <c r="B199" s="806"/>
      <c r="C199" s="798"/>
      <c r="D199" s="582" t="s">
        <v>795</v>
      </c>
      <c r="E199" s="583">
        <v>0.02</v>
      </c>
      <c r="F199" s="583">
        <v>0.01</v>
      </c>
      <c r="G199" s="582">
        <v>8586</v>
      </c>
      <c r="H199" s="582">
        <v>1718</v>
      </c>
      <c r="I199" s="582">
        <v>8586</v>
      </c>
      <c r="J199" s="582">
        <v>1718</v>
      </c>
      <c r="K199" s="804"/>
      <c r="L199" s="584"/>
    </row>
    <row r="200" spans="1:12">
      <c r="A200" s="814"/>
      <c r="B200" s="806"/>
      <c r="C200" s="798"/>
      <c r="D200" s="582" t="s">
        <v>701</v>
      </c>
      <c r="E200" s="583">
        <v>0.12</v>
      </c>
      <c r="F200" s="583">
        <v>0.12</v>
      </c>
      <c r="G200" s="582">
        <v>10163</v>
      </c>
      <c r="H200" s="582">
        <v>1010</v>
      </c>
      <c r="I200" s="582">
        <v>10163</v>
      </c>
      <c r="J200" s="582">
        <v>1010</v>
      </c>
      <c r="K200" s="804"/>
      <c r="L200" s="584"/>
    </row>
    <row r="201" spans="1:12">
      <c r="A201" s="811" t="s">
        <v>858</v>
      </c>
      <c r="B201" s="812" t="s">
        <v>859</v>
      </c>
      <c r="C201" s="807" t="s">
        <v>860</v>
      </c>
      <c r="D201" s="586" t="s">
        <v>791</v>
      </c>
      <c r="E201" s="587">
        <v>0.2</v>
      </c>
      <c r="F201" s="587">
        <v>0.08</v>
      </c>
      <c r="G201" s="586">
        <v>9825.9</v>
      </c>
      <c r="H201" s="586">
        <v>1965.2</v>
      </c>
      <c r="I201" s="586">
        <v>9825.9</v>
      </c>
      <c r="J201" s="586">
        <v>1965.2</v>
      </c>
      <c r="K201" s="813">
        <v>3202.33</v>
      </c>
      <c r="L201" s="816" t="s">
        <v>782</v>
      </c>
    </row>
    <row r="202" spans="1:12">
      <c r="A202" s="811"/>
      <c r="B202" s="812"/>
      <c r="C202" s="807"/>
      <c r="D202" s="586" t="s">
        <v>792</v>
      </c>
      <c r="E202" s="587">
        <v>0.08</v>
      </c>
      <c r="F202" s="587" t="s">
        <v>861</v>
      </c>
      <c r="G202" s="586">
        <v>9606.9</v>
      </c>
      <c r="H202" s="586">
        <v>1921.4</v>
      </c>
      <c r="I202" s="586">
        <v>9606.9</v>
      </c>
      <c r="J202" s="586">
        <v>1921.4</v>
      </c>
      <c r="K202" s="813"/>
      <c r="L202" s="816"/>
    </row>
    <row r="203" spans="1:12">
      <c r="A203" s="811"/>
      <c r="B203" s="812"/>
      <c r="C203" s="807"/>
      <c r="D203" s="586" t="s">
        <v>793</v>
      </c>
      <c r="E203" s="587">
        <v>5.0000000000000001E-3</v>
      </c>
      <c r="F203" s="587"/>
      <c r="G203" s="586">
        <v>9606.9</v>
      </c>
      <c r="H203" s="586">
        <v>1921.4</v>
      </c>
      <c r="I203" s="586"/>
      <c r="J203" s="586"/>
      <c r="K203" s="813"/>
      <c r="L203" s="816"/>
    </row>
    <row r="204" spans="1:12">
      <c r="A204" s="811"/>
      <c r="B204" s="812"/>
      <c r="C204" s="807"/>
      <c r="D204" s="586" t="s">
        <v>794</v>
      </c>
      <c r="E204" s="587">
        <v>7.0000000000000001E-3</v>
      </c>
      <c r="F204" s="587"/>
      <c r="G204" s="586">
        <v>9606.9</v>
      </c>
      <c r="H204" s="586">
        <v>1921.4</v>
      </c>
      <c r="I204" s="586"/>
      <c r="J204" s="586"/>
      <c r="K204" s="813"/>
      <c r="L204" s="816"/>
    </row>
    <row r="205" spans="1:12">
      <c r="A205" s="811"/>
      <c r="B205" s="812"/>
      <c r="C205" s="807"/>
      <c r="D205" s="586" t="s">
        <v>795</v>
      </c>
      <c r="E205" s="587">
        <v>0.02</v>
      </c>
      <c r="F205" s="587">
        <v>0.01</v>
      </c>
      <c r="G205" s="586">
        <v>9606.9</v>
      </c>
      <c r="H205" s="586">
        <v>1921.4</v>
      </c>
      <c r="I205" s="586">
        <v>9606.9</v>
      </c>
      <c r="J205" s="586">
        <v>1921.4</v>
      </c>
      <c r="K205" s="813"/>
      <c r="L205" s="816"/>
    </row>
    <row r="206" spans="1:12">
      <c r="A206" s="811"/>
      <c r="B206" s="812"/>
      <c r="C206" s="807"/>
      <c r="D206" s="586" t="s">
        <v>701</v>
      </c>
      <c r="E206" s="587">
        <v>0.08</v>
      </c>
      <c r="F206" s="587">
        <v>0.08</v>
      </c>
      <c r="G206" s="586">
        <v>14737.5</v>
      </c>
      <c r="H206" s="586">
        <v>900</v>
      </c>
      <c r="I206" s="586">
        <v>14737.5</v>
      </c>
      <c r="J206" s="586">
        <v>900</v>
      </c>
      <c r="K206" s="813"/>
      <c r="L206" s="816"/>
    </row>
    <row r="207" spans="1:12">
      <c r="A207" s="811"/>
      <c r="B207" s="812" t="s">
        <v>862</v>
      </c>
      <c r="C207" s="812" t="s">
        <v>863</v>
      </c>
      <c r="D207" s="586" t="s">
        <v>791</v>
      </c>
      <c r="E207" s="587">
        <v>0.2</v>
      </c>
      <c r="F207" s="587">
        <v>0.08</v>
      </c>
      <c r="G207" s="586">
        <v>7620</v>
      </c>
      <c r="H207" s="586">
        <v>1524</v>
      </c>
      <c r="I207" s="586">
        <v>7620</v>
      </c>
      <c r="J207" s="586">
        <v>1524</v>
      </c>
      <c r="K207" s="813" t="s">
        <v>864</v>
      </c>
      <c r="L207" s="816" t="s">
        <v>865</v>
      </c>
    </row>
    <row r="208" spans="1:12">
      <c r="A208" s="811"/>
      <c r="B208" s="812"/>
      <c r="C208" s="812"/>
      <c r="D208" s="586" t="s">
        <v>792</v>
      </c>
      <c r="E208" s="587">
        <v>0.08</v>
      </c>
      <c r="F208" s="587">
        <v>0.02</v>
      </c>
      <c r="G208" s="586">
        <v>7620</v>
      </c>
      <c r="H208" s="586">
        <v>1524</v>
      </c>
      <c r="I208" s="586">
        <v>7620</v>
      </c>
      <c r="J208" s="586">
        <v>1524</v>
      </c>
      <c r="K208" s="813"/>
      <c r="L208" s="816"/>
    </row>
    <row r="209" spans="1:12">
      <c r="A209" s="811"/>
      <c r="B209" s="812"/>
      <c r="C209" s="812"/>
      <c r="D209" s="586" t="s">
        <v>793</v>
      </c>
      <c r="E209" s="587">
        <v>5.0000000000000001E-3</v>
      </c>
      <c r="F209" s="587">
        <v>0</v>
      </c>
      <c r="G209" s="586">
        <v>7620</v>
      </c>
      <c r="H209" s="586">
        <v>1524</v>
      </c>
      <c r="I209" s="586">
        <v>7620</v>
      </c>
      <c r="J209" s="586">
        <v>1524</v>
      </c>
      <c r="K209" s="813"/>
      <c r="L209" s="816"/>
    </row>
    <row r="210" spans="1:12">
      <c r="A210" s="811"/>
      <c r="B210" s="812"/>
      <c r="C210" s="812"/>
      <c r="D210" s="586" t="s">
        <v>794</v>
      </c>
      <c r="E210" s="587">
        <v>7.0000000000000001E-3</v>
      </c>
      <c r="F210" s="587">
        <v>0</v>
      </c>
      <c r="G210" s="586">
        <v>7620</v>
      </c>
      <c r="H210" s="586">
        <v>1524</v>
      </c>
      <c r="I210" s="586">
        <v>7620</v>
      </c>
      <c r="J210" s="586">
        <v>1524</v>
      </c>
      <c r="K210" s="813"/>
      <c r="L210" s="816"/>
    </row>
    <row r="211" spans="1:12">
      <c r="A211" s="811"/>
      <c r="B211" s="812"/>
      <c r="C211" s="812"/>
      <c r="D211" s="586" t="s">
        <v>795</v>
      </c>
      <c r="E211" s="587">
        <v>0.02</v>
      </c>
      <c r="F211" s="587">
        <v>0.01</v>
      </c>
      <c r="G211" s="586">
        <v>7620</v>
      </c>
      <c r="H211" s="586">
        <v>1524</v>
      </c>
      <c r="I211" s="586">
        <v>7620</v>
      </c>
      <c r="J211" s="586">
        <v>1524</v>
      </c>
      <c r="K211" s="813"/>
      <c r="L211" s="816"/>
    </row>
    <row r="212" spans="1:12">
      <c r="A212" s="811"/>
      <c r="B212" s="812"/>
      <c r="C212" s="812"/>
      <c r="D212" s="586" t="s">
        <v>701</v>
      </c>
      <c r="E212" s="587" t="s">
        <v>866</v>
      </c>
      <c r="F212" s="587" t="s">
        <v>866</v>
      </c>
      <c r="G212" s="586">
        <v>9585</v>
      </c>
      <c r="H212" s="586">
        <v>1000</v>
      </c>
      <c r="I212" s="586">
        <v>9585</v>
      </c>
      <c r="J212" s="586">
        <v>1000</v>
      </c>
      <c r="K212" s="586" t="s">
        <v>867</v>
      </c>
      <c r="L212" s="586" t="s">
        <v>868</v>
      </c>
    </row>
    <row r="213" spans="1:12">
      <c r="A213" s="811"/>
      <c r="B213" s="812" t="s">
        <v>869</v>
      </c>
      <c r="C213" s="812" t="s">
        <v>870</v>
      </c>
      <c r="D213" s="586" t="s">
        <v>791</v>
      </c>
      <c r="E213" s="587">
        <v>0.2</v>
      </c>
      <c r="F213" s="587">
        <v>0.08</v>
      </c>
      <c r="G213" s="586">
        <v>8760</v>
      </c>
      <c r="H213" s="586">
        <v>1752</v>
      </c>
      <c r="I213" s="586">
        <v>8760</v>
      </c>
      <c r="J213" s="586">
        <v>1752</v>
      </c>
      <c r="K213" s="813">
        <v>2920</v>
      </c>
      <c r="L213" s="816" t="s">
        <v>737</v>
      </c>
    </row>
    <row r="214" spans="1:12">
      <c r="A214" s="811"/>
      <c r="B214" s="812"/>
      <c r="C214" s="812"/>
      <c r="D214" s="586" t="s">
        <v>792</v>
      </c>
      <c r="E214" s="587">
        <v>0.06</v>
      </c>
      <c r="F214" s="587">
        <v>0.02</v>
      </c>
      <c r="G214" s="586">
        <v>8760</v>
      </c>
      <c r="H214" s="586">
        <v>1752</v>
      </c>
      <c r="I214" s="586">
        <v>8760</v>
      </c>
      <c r="J214" s="586">
        <v>1752</v>
      </c>
      <c r="K214" s="813"/>
      <c r="L214" s="816"/>
    </row>
    <row r="215" spans="1:12">
      <c r="A215" s="811"/>
      <c r="B215" s="812"/>
      <c r="C215" s="812"/>
      <c r="D215" s="586" t="s">
        <v>793</v>
      </c>
      <c r="E215" s="587" t="s">
        <v>871</v>
      </c>
      <c r="F215" s="587"/>
      <c r="G215" s="586">
        <v>8760</v>
      </c>
      <c r="H215" s="586">
        <v>1752</v>
      </c>
      <c r="I215" s="586"/>
      <c r="J215" s="586"/>
      <c r="K215" s="813"/>
      <c r="L215" s="816"/>
    </row>
    <row r="216" spans="1:12">
      <c r="A216" s="811"/>
      <c r="B216" s="812"/>
      <c r="C216" s="812"/>
      <c r="D216" s="586" t="s">
        <v>794</v>
      </c>
      <c r="E216" s="587">
        <v>8.0000000000000002E-3</v>
      </c>
      <c r="F216" s="587"/>
      <c r="G216" s="586">
        <v>8760</v>
      </c>
      <c r="H216" s="586">
        <v>1752</v>
      </c>
      <c r="I216" s="586"/>
      <c r="J216" s="586"/>
      <c r="K216" s="813"/>
      <c r="L216" s="816"/>
    </row>
    <row r="217" spans="1:12">
      <c r="A217" s="811"/>
      <c r="B217" s="812"/>
      <c r="C217" s="812"/>
      <c r="D217" s="586" t="s">
        <v>795</v>
      </c>
      <c r="E217" s="587">
        <v>0.02</v>
      </c>
      <c r="F217" s="587">
        <v>0.01</v>
      </c>
      <c r="G217" s="586">
        <v>8760</v>
      </c>
      <c r="H217" s="586">
        <v>1752</v>
      </c>
      <c r="I217" s="586">
        <v>8760</v>
      </c>
      <c r="J217" s="586">
        <v>1752</v>
      </c>
      <c r="K217" s="813"/>
      <c r="L217" s="816"/>
    </row>
    <row r="218" spans="1:12">
      <c r="A218" s="811"/>
      <c r="B218" s="812"/>
      <c r="C218" s="812"/>
      <c r="D218" s="586" t="s">
        <v>701</v>
      </c>
      <c r="E218" s="587">
        <v>0.08</v>
      </c>
      <c r="F218" s="587">
        <v>0.08</v>
      </c>
      <c r="G218" s="586">
        <v>13750</v>
      </c>
      <c r="H218" s="586">
        <v>1000</v>
      </c>
      <c r="I218" s="586">
        <v>13750</v>
      </c>
      <c r="J218" s="586">
        <v>1000</v>
      </c>
      <c r="K218" s="813"/>
      <c r="L218" s="816"/>
    </row>
    <row r="219" spans="1:12" ht="26">
      <c r="A219" s="811"/>
      <c r="B219" s="812" t="s">
        <v>872</v>
      </c>
      <c r="C219" s="807" t="s">
        <v>873</v>
      </c>
      <c r="D219" s="586" t="s">
        <v>791</v>
      </c>
      <c r="E219" s="587" t="s">
        <v>874</v>
      </c>
      <c r="F219" s="587">
        <v>0.08</v>
      </c>
      <c r="G219" s="586">
        <v>12615</v>
      </c>
      <c r="H219" s="586" t="s">
        <v>875</v>
      </c>
      <c r="I219" s="586">
        <v>12615</v>
      </c>
      <c r="J219" s="586" t="s">
        <v>875</v>
      </c>
      <c r="K219" s="813">
        <v>3894</v>
      </c>
      <c r="L219" s="816" t="s">
        <v>732</v>
      </c>
    </row>
    <row r="220" spans="1:12" ht="169">
      <c r="A220" s="811"/>
      <c r="B220" s="812"/>
      <c r="C220" s="807"/>
      <c r="D220" s="586" t="s">
        <v>792</v>
      </c>
      <c r="E220" s="587" t="s">
        <v>876</v>
      </c>
      <c r="F220" s="587" t="s">
        <v>877</v>
      </c>
      <c r="G220" s="586">
        <v>12615</v>
      </c>
      <c r="H220" s="586" t="s">
        <v>875</v>
      </c>
      <c r="I220" s="586">
        <v>12615</v>
      </c>
      <c r="J220" s="586" t="s">
        <v>875</v>
      </c>
      <c r="K220" s="813"/>
      <c r="L220" s="816"/>
    </row>
    <row r="221" spans="1:12">
      <c r="A221" s="811"/>
      <c r="B221" s="812"/>
      <c r="C221" s="807"/>
      <c r="D221" s="586" t="s">
        <v>793</v>
      </c>
      <c r="E221" s="587" t="s">
        <v>878</v>
      </c>
      <c r="F221" s="587"/>
      <c r="G221" s="586">
        <v>99999</v>
      </c>
      <c r="H221" s="586">
        <v>1320</v>
      </c>
      <c r="I221" s="586">
        <v>99999</v>
      </c>
      <c r="J221" s="586">
        <v>1320</v>
      </c>
      <c r="K221" s="813"/>
      <c r="L221" s="816"/>
    </row>
    <row r="222" spans="1:12" ht="26">
      <c r="A222" s="811"/>
      <c r="B222" s="812"/>
      <c r="C222" s="807"/>
      <c r="D222" s="586" t="s">
        <v>794</v>
      </c>
      <c r="E222" s="587" t="s">
        <v>879</v>
      </c>
      <c r="F222" s="587"/>
      <c r="G222" s="587">
        <v>11682</v>
      </c>
      <c r="H222" s="587" t="s">
        <v>880</v>
      </c>
      <c r="I222" s="587"/>
      <c r="J222" s="587"/>
      <c r="K222" s="813"/>
      <c r="L222" s="816"/>
    </row>
    <row r="223" spans="1:12">
      <c r="A223" s="811"/>
      <c r="B223" s="812"/>
      <c r="C223" s="807"/>
      <c r="D223" s="586" t="s">
        <v>795</v>
      </c>
      <c r="E223" s="587">
        <v>4.0000000000000001E-3</v>
      </c>
      <c r="F223" s="587"/>
      <c r="G223" s="586">
        <v>4205</v>
      </c>
      <c r="H223" s="586">
        <v>4205</v>
      </c>
      <c r="I223" s="586"/>
      <c r="J223" s="586"/>
      <c r="K223" s="813"/>
      <c r="L223" s="816"/>
    </row>
    <row r="224" spans="1:12" ht="39">
      <c r="A224" s="811"/>
      <c r="B224" s="812"/>
      <c r="C224" s="807"/>
      <c r="D224" s="586" t="s">
        <v>701</v>
      </c>
      <c r="E224" s="587" t="s">
        <v>881</v>
      </c>
      <c r="F224" s="587" t="s">
        <v>881</v>
      </c>
      <c r="G224" s="586">
        <v>21025</v>
      </c>
      <c r="H224" s="586">
        <v>1100</v>
      </c>
      <c r="I224" s="586">
        <v>21025</v>
      </c>
      <c r="J224" s="586">
        <v>1100</v>
      </c>
      <c r="K224" s="813"/>
      <c r="L224" s="588" t="s">
        <v>882</v>
      </c>
    </row>
    <row r="225" spans="1:12">
      <c r="A225" s="811"/>
      <c r="B225" s="812"/>
      <c r="C225" s="813" t="s">
        <v>883</v>
      </c>
      <c r="D225" s="586" t="s">
        <v>791</v>
      </c>
      <c r="E225" s="587">
        <v>0.12</v>
      </c>
      <c r="F225" s="587">
        <v>0.08</v>
      </c>
      <c r="G225" s="586">
        <v>10089</v>
      </c>
      <c r="H225" s="586">
        <v>2018</v>
      </c>
      <c r="I225" s="586">
        <v>10089</v>
      </c>
      <c r="J225" s="586">
        <v>2018</v>
      </c>
      <c r="K225" s="813">
        <v>4541</v>
      </c>
      <c r="L225" s="816" t="s">
        <v>782</v>
      </c>
    </row>
    <row r="226" spans="1:12" ht="39">
      <c r="A226" s="811"/>
      <c r="B226" s="812"/>
      <c r="C226" s="813"/>
      <c r="D226" s="586" t="s">
        <v>792</v>
      </c>
      <c r="E226" s="587" t="s">
        <v>884</v>
      </c>
      <c r="F226" s="587">
        <v>0.02</v>
      </c>
      <c r="G226" s="586" t="s">
        <v>885</v>
      </c>
      <c r="H226" s="586" t="s">
        <v>886</v>
      </c>
      <c r="I226" s="586">
        <v>13623</v>
      </c>
      <c r="J226" s="586">
        <v>2725</v>
      </c>
      <c r="K226" s="813"/>
      <c r="L226" s="816"/>
    </row>
    <row r="227" spans="1:12">
      <c r="A227" s="811"/>
      <c r="B227" s="812"/>
      <c r="C227" s="813"/>
      <c r="D227" s="586" t="s">
        <v>793</v>
      </c>
      <c r="E227" s="587">
        <v>5.0000000000000001E-3</v>
      </c>
      <c r="F227" s="587"/>
      <c r="G227" s="586">
        <v>13623</v>
      </c>
      <c r="H227" s="586">
        <v>1300</v>
      </c>
      <c r="I227" s="586">
        <v>13623</v>
      </c>
      <c r="J227" s="586"/>
      <c r="K227" s="813"/>
      <c r="L227" s="816"/>
    </row>
    <row r="228" spans="1:12">
      <c r="A228" s="811"/>
      <c r="B228" s="812"/>
      <c r="C228" s="813"/>
      <c r="D228" s="586" t="s">
        <v>794</v>
      </c>
      <c r="E228" s="587">
        <v>8.5000000000000006E-3</v>
      </c>
      <c r="F228" s="587"/>
      <c r="G228" s="586">
        <v>13623</v>
      </c>
      <c r="H228" s="586">
        <v>2725</v>
      </c>
      <c r="I228" s="586">
        <v>13623</v>
      </c>
      <c r="J228" s="586"/>
      <c r="K228" s="813"/>
      <c r="L228" s="816"/>
    </row>
    <row r="229" spans="1:12">
      <c r="A229" s="811"/>
      <c r="B229" s="812"/>
      <c r="C229" s="813"/>
      <c r="D229" s="586" t="s">
        <v>795</v>
      </c>
      <c r="E229" s="587">
        <v>0.02</v>
      </c>
      <c r="F229" s="587">
        <v>0.01</v>
      </c>
      <c r="G229" s="586">
        <v>13623</v>
      </c>
      <c r="H229" s="586">
        <v>1300</v>
      </c>
      <c r="I229" s="586">
        <v>13623</v>
      </c>
      <c r="J229" s="586">
        <v>13623</v>
      </c>
      <c r="K229" s="813"/>
      <c r="L229" s="816"/>
    </row>
    <row r="230" spans="1:12" ht="26">
      <c r="A230" s="811"/>
      <c r="B230" s="812"/>
      <c r="C230" s="813"/>
      <c r="D230" s="586" t="s">
        <v>701</v>
      </c>
      <c r="E230" s="587" t="s">
        <v>887</v>
      </c>
      <c r="F230" s="587" t="s">
        <v>888</v>
      </c>
      <c r="G230" s="586">
        <v>22705</v>
      </c>
      <c r="H230" s="586">
        <v>1300</v>
      </c>
      <c r="I230" s="586">
        <v>22705</v>
      </c>
      <c r="J230" s="586">
        <v>1300</v>
      </c>
      <c r="K230" s="813"/>
      <c r="L230" s="816"/>
    </row>
    <row r="231" spans="1:12">
      <c r="A231" s="811"/>
      <c r="B231" s="812"/>
      <c r="C231" s="798" t="s">
        <v>889</v>
      </c>
      <c r="D231" s="586" t="s">
        <v>791</v>
      </c>
      <c r="E231" s="587">
        <v>0.11</v>
      </c>
      <c r="F231" s="587">
        <v>0.08</v>
      </c>
      <c r="G231" s="586">
        <v>10089</v>
      </c>
      <c r="H231" s="586">
        <v>1340</v>
      </c>
      <c r="I231" s="586">
        <v>10089</v>
      </c>
      <c r="J231" s="586">
        <v>1340</v>
      </c>
      <c r="K231" s="813">
        <v>3363</v>
      </c>
      <c r="L231" s="816" t="s">
        <v>782</v>
      </c>
    </row>
    <row r="232" spans="1:12">
      <c r="A232" s="811"/>
      <c r="B232" s="812"/>
      <c r="C232" s="798"/>
      <c r="D232" s="586" t="s">
        <v>792</v>
      </c>
      <c r="E232" s="587">
        <v>2.3E-2</v>
      </c>
      <c r="F232" s="587">
        <v>5.0000000000000001E-3</v>
      </c>
      <c r="G232" s="586">
        <v>10089</v>
      </c>
      <c r="H232" s="586">
        <v>1340</v>
      </c>
      <c r="I232" s="586">
        <v>10089</v>
      </c>
      <c r="J232" s="586">
        <v>1340</v>
      </c>
      <c r="K232" s="813"/>
      <c r="L232" s="816"/>
    </row>
    <row r="233" spans="1:12">
      <c r="A233" s="811"/>
      <c r="B233" s="812"/>
      <c r="C233" s="798"/>
      <c r="D233" s="586" t="s">
        <v>793</v>
      </c>
      <c r="E233" s="587">
        <v>5.0000000000000001E-3</v>
      </c>
      <c r="F233" s="587"/>
      <c r="G233" s="586">
        <v>10089</v>
      </c>
      <c r="H233" s="586">
        <v>1340</v>
      </c>
      <c r="I233" s="586"/>
      <c r="J233" s="586"/>
      <c r="K233" s="813"/>
      <c r="L233" s="816"/>
    </row>
    <row r="234" spans="1:12">
      <c r="A234" s="811"/>
      <c r="B234" s="812"/>
      <c r="C234" s="798"/>
      <c r="D234" s="586" t="s">
        <v>794</v>
      </c>
      <c r="E234" s="587"/>
      <c r="F234" s="587"/>
      <c r="G234" s="586"/>
      <c r="H234" s="586"/>
      <c r="I234" s="586"/>
      <c r="J234" s="586"/>
      <c r="K234" s="813"/>
      <c r="L234" s="816"/>
    </row>
    <row r="235" spans="1:12" ht="26">
      <c r="A235" s="811"/>
      <c r="B235" s="812"/>
      <c r="C235" s="798"/>
      <c r="D235" s="586" t="s">
        <v>795</v>
      </c>
      <c r="E235" s="587">
        <v>5.0000000000000001E-3</v>
      </c>
      <c r="F235" s="587" t="s">
        <v>890</v>
      </c>
      <c r="G235" s="586">
        <v>10089</v>
      </c>
      <c r="H235" s="586">
        <v>1340</v>
      </c>
      <c r="I235" s="586">
        <v>10089</v>
      </c>
      <c r="J235" s="586">
        <v>1340</v>
      </c>
      <c r="K235" s="813"/>
      <c r="L235" s="816"/>
    </row>
    <row r="236" spans="1:12">
      <c r="A236" s="811"/>
      <c r="B236" s="812"/>
      <c r="C236" s="798"/>
      <c r="D236" s="586" t="s">
        <v>701</v>
      </c>
      <c r="E236" s="587">
        <v>0.1</v>
      </c>
      <c r="F236" s="587" t="s">
        <v>891</v>
      </c>
      <c r="G236" s="586">
        <v>19407</v>
      </c>
      <c r="H236" s="586">
        <v>1110</v>
      </c>
      <c r="I236" s="586">
        <v>19407</v>
      </c>
      <c r="J236" s="586">
        <v>1110</v>
      </c>
      <c r="K236" s="813"/>
      <c r="L236" s="816"/>
    </row>
    <row r="237" spans="1:12">
      <c r="A237" s="811"/>
      <c r="B237" s="812"/>
      <c r="C237" s="813" t="s">
        <v>892</v>
      </c>
      <c r="D237" s="586" t="s">
        <v>791</v>
      </c>
      <c r="E237" s="587">
        <v>0.1</v>
      </c>
      <c r="F237" s="587">
        <v>0.08</v>
      </c>
      <c r="G237" s="586">
        <v>10089</v>
      </c>
      <c r="H237" s="586">
        <v>2018</v>
      </c>
      <c r="I237" s="586">
        <v>10089</v>
      </c>
      <c r="J237" s="586">
        <v>2018</v>
      </c>
      <c r="K237" s="813">
        <v>3090</v>
      </c>
      <c r="L237" s="817" t="s">
        <v>782</v>
      </c>
    </row>
    <row r="238" spans="1:12">
      <c r="A238" s="811"/>
      <c r="B238" s="812"/>
      <c r="C238" s="813"/>
      <c r="D238" s="586" t="s">
        <v>792</v>
      </c>
      <c r="E238" s="587">
        <v>0.06</v>
      </c>
      <c r="F238" s="587">
        <v>0.02</v>
      </c>
      <c r="G238" s="586">
        <v>2472</v>
      </c>
      <c r="H238" s="586">
        <v>2472</v>
      </c>
      <c r="I238" s="586">
        <v>2472</v>
      </c>
      <c r="J238" s="586">
        <v>2472</v>
      </c>
      <c r="K238" s="813"/>
      <c r="L238" s="817"/>
    </row>
    <row r="239" spans="1:12">
      <c r="A239" s="811"/>
      <c r="B239" s="812"/>
      <c r="C239" s="813"/>
      <c r="D239" s="586" t="s">
        <v>793</v>
      </c>
      <c r="E239" s="587">
        <v>6.0000000000000001E-3</v>
      </c>
      <c r="F239" s="587"/>
      <c r="G239" s="586">
        <v>9270</v>
      </c>
      <c r="H239" s="586">
        <v>1854</v>
      </c>
      <c r="I239" s="586"/>
      <c r="J239" s="586"/>
      <c r="K239" s="813"/>
      <c r="L239" s="817"/>
    </row>
    <row r="240" spans="1:12">
      <c r="A240" s="811"/>
      <c r="B240" s="812"/>
      <c r="C240" s="813"/>
      <c r="D240" s="586" t="s">
        <v>794</v>
      </c>
      <c r="E240" s="587">
        <v>5.0000000000000001E-3</v>
      </c>
      <c r="F240" s="587"/>
      <c r="G240" s="586">
        <v>2472</v>
      </c>
      <c r="H240" s="586">
        <v>2472</v>
      </c>
      <c r="I240" s="586"/>
      <c r="J240" s="586"/>
      <c r="K240" s="813"/>
      <c r="L240" s="817"/>
    </row>
    <row r="241" spans="1:12" ht="26">
      <c r="A241" s="811"/>
      <c r="B241" s="812"/>
      <c r="C241" s="813"/>
      <c r="D241" s="586" t="s">
        <v>795</v>
      </c>
      <c r="E241" s="587">
        <v>0.01</v>
      </c>
      <c r="F241" s="587" t="s">
        <v>893</v>
      </c>
      <c r="G241" s="586">
        <v>10089</v>
      </c>
      <c r="H241" s="586">
        <v>2018</v>
      </c>
      <c r="I241" s="586">
        <v>10089</v>
      </c>
      <c r="J241" s="586">
        <v>2018</v>
      </c>
      <c r="K241" s="813"/>
      <c r="L241" s="817"/>
    </row>
    <row r="242" spans="1:12" ht="39">
      <c r="A242" s="811"/>
      <c r="B242" s="812"/>
      <c r="C242" s="813"/>
      <c r="D242" s="586" t="s">
        <v>701</v>
      </c>
      <c r="E242" s="587">
        <v>0.1</v>
      </c>
      <c r="F242" s="587">
        <v>0.1</v>
      </c>
      <c r="G242" s="586" t="s">
        <v>894</v>
      </c>
      <c r="H242" s="586" t="s">
        <v>895</v>
      </c>
      <c r="I242" s="586" t="s">
        <v>894</v>
      </c>
      <c r="J242" s="586" t="s">
        <v>895</v>
      </c>
      <c r="K242" s="813"/>
      <c r="L242" s="817"/>
    </row>
    <row r="243" spans="1:12" ht="26">
      <c r="A243" s="811"/>
      <c r="B243" s="812"/>
      <c r="C243" s="818" t="s">
        <v>896</v>
      </c>
      <c r="D243" s="586" t="s">
        <v>791</v>
      </c>
      <c r="E243" s="587">
        <v>0.15</v>
      </c>
      <c r="F243" s="587">
        <v>0.08</v>
      </c>
      <c r="G243" s="586">
        <v>11809</v>
      </c>
      <c r="H243" s="586">
        <v>1703</v>
      </c>
      <c r="I243" s="586">
        <v>11809</v>
      </c>
      <c r="J243" s="586">
        <v>1703</v>
      </c>
      <c r="K243" s="813">
        <v>2312</v>
      </c>
      <c r="L243" s="588" t="s">
        <v>897</v>
      </c>
    </row>
    <row r="244" spans="1:12" ht="26">
      <c r="A244" s="811"/>
      <c r="B244" s="812"/>
      <c r="C244" s="819"/>
      <c r="D244" s="586" t="s">
        <v>792</v>
      </c>
      <c r="E244" s="587">
        <v>0.06</v>
      </c>
      <c r="F244" s="587">
        <v>0.02</v>
      </c>
      <c r="G244" s="586">
        <v>6348</v>
      </c>
      <c r="H244" s="586" t="s">
        <v>898</v>
      </c>
      <c r="I244" s="586">
        <v>6348</v>
      </c>
      <c r="J244" s="586" t="s">
        <v>898</v>
      </c>
      <c r="K244" s="813"/>
      <c r="L244" s="588" t="s">
        <v>899</v>
      </c>
    </row>
    <row r="245" spans="1:12" ht="26">
      <c r="A245" s="811"/>
      <c r="B245" s="812"/>
      <c r="C245" s="819"/>
      <c r="D245" s="586" t="s">
        <v>793</v>
      </c>
      <c r="E245" s="587">
        <v>4.4999999999999997E-3</v>
      </c>
      <c r="F245" s="587"/>
      <c r="G245" s="586">
        <v>11809</v>
      </c>
      <c r="H245" s="586">
        <v>1703</v>
      </c>
      <c r="I245" s="586"/>
      <c r="J245" s="586"/>
      <c r="K245" s="813"/>
      <c r="L245" s="588" t="s">
        <v>900</v>
      </c>
    </row>
    <row r="246" spans="1:12" ht="26">
      <c r="A246" s="811"/>
      <c r="B246" s="812"/>
      <c r="C246" s="819"/>
      <c r="D246" s="586" t="s">
        <v>794</v>
      </c>
      <c r="E246" s="587">
        <v>0.01</v>
      </c>
      <c r="F246" s="587"/>
      <c r="G246" s="586">
        <v>11809</v>
      </c>
      <c r="H246" s="586">
        <v>1703</v>
      </c>
      <c r="I246" s="586"/>
      <c r="J246" s="586"/>
      <c r="K246" s="813"/>
      <c r="L246" s="588" t="s">
        <v>900</v>
      </c>
    </row>
    <row r="247" spans="1:12" ht="26">
      <c r="A247" s="811"/>
      <c r="B247" s="812"/>
      <c r="C247" s="819"/>
      <c r="D247" s="586" t="s">
        <v>795</v>
      </c>
      <c r="E247" s="587">
        <v>0.01</v>
      </c>
      <c r="F247" s="587">
        <v>0.01</v>
      </c>
      <c r="G247" s="586">
        <v>11809</v>
      </c>
      <c r="H247" s="586">
        <v>1703</v>
      </c>
      <c r="I247" s="586">
        <v>11809</v>
      </c>
      <c r="J247" s="586">
        <v>1703</v>
      </c>
      <c r="K247" s="813"/>
      <c r="L247" s="588" t="s">
        <v>900</v>
      </c>
    </row>
    <row r="248" spans="1:12">
      <c r="A248" s="811"/>
      <c r="B248" s="812"/>
      <c r="C248" s="820"/>
      <c r="D248" s="586" t="s">
        <v>701</v>
      </c>
      <c r="E248" s="587" t="s">
        <v>901</v>
      </c>
      <c r="F248" s="587" t="s">
        <v>901</v>
      </c>
      <c r="G248" s="586">
        <v>11560</v>
      </c>
      <c r="H248" s="586">
        <v>950</v>
      </c>
      <c r="I248" s="586">
        <v>11560</v>
      </c>
      <c r="J248" s="586">
        <v>950</v>
      </c>
      <c r="K248" s="813"/>
      <c r="L248" s="588" t="s">
        <v>782</v>
      </c>
    </row>
    <row r="249" spans="1:12">
      <c r="A249" s="811"/>
      <c r="B249" s="812"/>
      <c r="C249" s="798" t="s">
        <v>902</v>
      </c>
      <c r="D249" s="586" t="s">
        <v>791</v>
      </c>
      <c r="E249" s="587">
        <v>0.15</v>
      </c>
      <c r="F249" s="587">
        <v>0.08</v>
      </c>
      <c r="G249" s="586">
        <v>11809</v>
      </c>
      <c r="H249" s="586">
        <v>1750</v>
      </c>
      <c r="I249" s="586">
        <v>11809</v>
      </c>
      <c r="J249" s="586">
        <v>1750</v>
      </c>
      <c r="K249" s="813">
        <v>3030</v>
      </c>
      <c r="L249" s="816" t="s">
        <v>903</v>
      </c>
    </row>
    <row r="250" spans="1:12">
      <c r="A250" s="811"/>
      <c r="B250" s="812"/>
      <c r="C250" s="798"/>
      <c r="D250" s="586" t="s">
        <v>792</v>
      </c>
      <c r="E250" s="587">
        <v>0.06</v>
      </c>
      <c r="F250" s="587">
        <v>0.02</v>
      </c>
      <c r="G250" s="586">
        <v>9090</v>
      </c>
      <c r="H250" s="586">
        <v>1333</v>
      </c>
      <c r="I250" s="586">
        <v>9090</v>
      </c>
      <c r="J250" s="586">
        <v>1333</v>
      </c>
      <c r="K250" s="813"/>
      <c r="L250" s="816"/>
    </row>
    <row r="251" spans="1:12">
      <c r="A251" s="811"/>
      <c r="B251" s="812"/>
      <c r="C251" s="798"/>
      <c r="D251" s="586" t="s">
        <v>793</v>
      </c>
      <c r="E251" s="587">
        <v>0.01</v>
      </c>
      <c r="F251" s="587"/>
      <c r="G251" s="586">
        <v>11809</v>
      </c>
      <c r="H251" s="586">
        <v>1750</v>
      </c>
      <c r="I251" s="586"/>
      <c r="J251" s="586"/>
      <c r="K251" s="813"/>
      <c r="L251" s="816"/>
    </row>
    <row r="252" spans="1:12">
      <c r="A252" s="811"/>
      <c r="B252" s="812"/>
      <c r="C252" s="798"/>
      <c r="D252" s="586" t="s">
        <v>794</v>
      </c>
      <c r="E252" s="587">
        <v>5.0000000000000001E-3</v>
      </c>
      <c r="F252" s="587"/>
      <c r="G252" s="586">
        <v>11809</v>
      </c>
      <c r="H252" s="586">
        <v>1750</v>
      </c>
      <c r="I252" s="586"/>
      <c r="J252" s="586"/>
      <c r="K252" s="813"/>
      <c r="L252" s="816"/>
    </row>
    <row r="253" spans="1:12">
      <c r="A253" s="811"/>
      <c r="B253" s="812"/>
      <c r="C253" s="798"/>
      <c r="D253" s="586" t="s">
        <v>795</v>
      </c>
      <c r="E253" s="587">
        <v>0.02</v>
      </c>
      <c r="F253" s="587">
        <v>0.01</v>
      </c>
      <c r="G253" s="586">
        <v>11809</v>
      </c>
      <c r="H253" s="586">
        <v>1750</v>
      </c>
      <c r="I253" s="586">
        <v>11809</v>
      </c>
      <c r="J253" s="586">
        <v>1750</v>
      </c>
      <c r="K253" s="813"/>
      <c r="L253" s="816"/>
    </row>
    <row r="254" spans="1:12" ht="78">
      <c r="A254" s="811"/>
      <c r="B254" s="812"/>
      <c r="C254" s="798"/>
      <c r="D254" s="586" t="s">
        <v>701</v>
      </c>
      <c r="E254" s="587">
        <v>0.1</v>
      </c>
      <c r="F254" s="587">
        <v>0.1</v>
      </c>
      <c r="G254" s="586" t="s">
        <v>904</v>
      </c>
      <c r="H254" s="586"/>
      <c r="I254" s="586" t="s">
        <v>904</v>
      </c>
      <c r="J254" s="586"/>
      <c r="K254" s="813"/>
      <c r="L254" s="588" t="s">
        <v>782</v>
      </c>
    </row>
    <row r="255" spans="1:12">
      <c r="A255" s="811"/>
      <c r="B255" s="812"/>
      <c r="C255" s="813" t="s">
        <v>905</v>
      </c>
      <c r="D255" s="586" t="s">
        <v>791</v>
      </c>
      <c r="E255" s="587">
        <v>0.15</v>
      </c>
      <c r="F255" s="587">
        <v>0.08</v>
      </c>
      <c r="G255" s="586">
        <v>10089</v>
      </c>
      <c r="H255" s="586">
        <v>1513</v>
      </c>
      <c r="I255" s="586">
        <v>10089</v>
      </c>
      <c r="J255" s="586">
        <v>1513</v>
      </c>
      <c r="K255" s="813">
        <v>1884</v>
      </c>
      <c r="L255" s="816" t="s">
        <v>732</v>
      </c>
    </row>
    <row r="256" spans="1:12">
      <c r="A256" s="811"/>
      <c r="B256" s="812"/>
      <c r="C256" s="813"/>
      <c r="D256" s="586" t="s">
        <v>792</v>
      </c>
      <c r="E256" s="587">
        <v>6.3E-2</v>
      </c>
      <c r="F256" s="587">
        <v>0.02</v>
      </c>
      <c r="G256" s="586">
        <v>2733</v>
      </c>
      <c r="H256" s="586">
        <v>1650</v>
      </c>
      <c r="I256" s="586">
        <v>2733</v>
      </c>
      <c r="J256" s="586">
        <v>1650</v>
      </c>
      <c r="K256" s="813"/>
      <c r="L256" s="816"/>
    </row>
    <row r="257" spans="1:12">
      <c r="A257" s="811"/>
      <c r="B257" s="812"/>
      <c r="C257" s="813"/>
      <c r="D257" s="586" t="s">
        <v>793</v>
      </c>
      <c r="E257" s="587">
        <v>0.01</v>
      </c>
      <c r="F257" s="587"/>
      <c r="G257" s="586">
        <v>5652</v>
      </c>
      <c r="H257" s="586">
        <v>1130</v>
      </c>
      <c r="I257" s="586"/>
      <c r="J257" s="586"/>
      <c r="K257" s="813"/>
      <c r="L257" s="816"/>
    </row>
    <row r="258" spans="1:12">
      <c r="A258" s="811"/>
      <c r="B258" s="812"/>
      <c r="C258" s="813"/>
      <c r="D258" s="586" t="s">
        <v>794</v>
      </c>
      <c r="E258" s="587"/>
      <c r="F258" s="587"/>
      <c r="G258" s="586"/>
      <c r="H258" s="586"/>
      <c r="I258" s="586"/>
      <c r="J258" s="586"/>
      <c r="K258" s="813"/>
      <c r="L258" s="816"/>
    </row>
    <row r="259" spans="1:12" ht="26">
      <c r="A259" s="811"/>
      <c r="B259" s="812"/>
      <c r="C259" s="813"/>
      <c r="D259" s="586" t="s">
        <v>795</v>
      </c>
      <c r="E259" s="587">
        <v>0.02</v>
      </c>
      <c r="F259" s="587" t="s">
        <v>906</v>
      </c>
      <c r="G259" s="586">
        <v>5652</v>
      </c>
      <c r="H259" s="586">
        <v>1130</v>
      </c>
      <c r="I259" s="586">
        <v>5652</v>
      </c>
      <c r="J259" s="586">
        <v>1130</v>
      </c>
      <c r="K259" s="813"/>
      <c r="L259" s="816"/>
    </row>
    <row r="260" spans="1:12">
      <c r="A260" s="811"/>
      <c r="B260" s="812"/>
      <c r="C260" s="813"/>
      <c r="D260" s="586" t="s">
        <v>702</v>
      </c>
      <c r="E260" s="587">
        <v>0.1</v>
      </c>
      <c r="F260" s="587">
        <v>0.1</v>
      </c>
      <c r="G260" s="586">
        <v>12960</v>
      </c>
      <c r="H260" s="586">
        <v>0</v>
      </c>
      <c r="I260" s="586">
        <v>12960</v>
      </c>
      <c r="J260" s="586">
        <v>0</v>
      </c>
      <c r="K260" s="813"/>
      <c r="L260" s="816"/>
    </row>
    <row r="261" spans="1:12">
      <c r="A261" s="811"/>
      <c r="B261" s="812"/>
      <c r="C261" s="813" t="s">
        <v>907</v>
      </c>
      <c r="D261" s="586" t="s">
        <v>791</v>
      </c>
      <c r="E261" s="587">
        <v>0.1</v>
      </c>
      <c r="F261" s="587">
        <v>0.08</v>
      </c>
      <c r="G261" s="586">
        <v>10089</v>
      </c>
      <c r="H261" s="589">
        <v>1720</v>
      </c>
      <c r="I261" s="586">
        <v>10089</v>
      </c>
      <c r="J261" s="589">
        <v>1720</v>
      </c>
      <c r="K261" s="813">
        <v>2867</v>
      </c>
      <c r="L261" s="816" t="s">
        <v>737</v>
      </c>
    </row>
    <row r="262" spans="1:12">
      <c r="A262" s="811"/>
      <c r="B262" s="812"/>
      <c r="C262" s="813"/>
      <c r="D262" s="586" t="s">
        <v>792</v>
      </c>
      <c r="E262" s="587" t="s">
        <v>908</v>
      </c>
      <c r="F262" s="587" t="s">
        <v>909</v>
      </c>
      <c r="G262" s="586">
        <v>8601</v>
      </c>
      <c r="H262" s="589">
        <v>1720</v>
      </c>
      <c r="I262" s="586">
        <v>8601</v>
      </c>
      <c r="J262" s="589">
        <v>1720</v>
      </c>
      <c r="K262" s="813"/>
      <c r="L262" s="816"/>
    </row>
    <row r="263" spans="1:12">
      <c r="A263" s="811"/>
      <c r="B263" s="812"/>
      <c r="C263" s="813"/>
      <c r="D263" s="586" t="s">
        <v>793</v>
      </c>
      <c r="E263" s="587">
        <v>4.0000000000000001E-3</v>
      </c>
      <c r="F263" s="587"/>
      <c r="G263" s="586">
        <v>8601</v>
      </c>
      <c r="H263" s="589">
        <v>1720</v>
      </c>
      <c r="I263" s="586"/>
      <c r="J263" s="589"/>
      <c r="K263" s="813"/>
      <c r="L263" s="816"/>
    </row>
    <row r="264" spans="1:12">
      <c r="A264" s="811"/>
      <c r="B264" s="812"/>
      <c r="C264" s="813"/>
      <c r="D264" s="586" t="s">
        <v>794</v>
      </c>
      <c r="E264" s="587">
        <v>7.0000000000000001E-3</v>
      </c>
      <c r="F264" s="587"/>
      <c r="G264" s="586">
        <v>8601</v>
      </c>
      <c r="H264" s="589">
        <v>1720</v>
      </c>
      <c r="I264" s="586"/>
      <c r="J264" s="589"/>
      <c r="K264" s="813"/>
      <c r="L264" s="816"/>
    </row>
    <row r="265" spans="1:12">
      <c r="A265" s="811"/>
      <c r="B265" s="812"/>
      <c r="C265" s="813"/>
      <c r="D265" s="586" t="s">
        <v>795</v>
      </c>
      <c r="E265" s="587">
        <v>0.01</v>
      </c>
      <c r="F265" s="587" t="s">
        <v>910</v>
      </c>
      <c r="G265" s="586">
        <v>8601</v>
      </c>
      <c r="H265" s="589">
        <v>1720</v>
      </c>
      <c r="I265" s="586">
        <v>8601</v>
      </c>
      <c r="J265" s="589">
        <v>1720</v>
      </c>
      <c r="K265" s="813"/>
      <c r="L265" s="816"/>
    </row>
    <row r="266" spans="1:12">
      <c r="A266" s="811"/>
      <c r="B266" s="812"/>
      <c r="C266" s="813"/>
      <c r="D266" s="586" t="s">
        <v>702</v>
      </c>
      <c r="E266" s="587" t="s">
        <v>911</v>
      </c>
      <c r="F266" s="587" t="s">
        <v>911</v>
      </c>
      <c r="G266" s="586">
        <v>18900</v>
      </c>
      <c r="H266" s="586">
        <v>1150</v>
      </c>
      <c r="I266" s="586">
        <v>18900</v>
      </c>
      <c r="J266" s="586">
        <v>1150</v>
      </c>
      <c r="K266" s="813"/>
      <c r="L266" s="816"/>
    </row>
    <row r="267" spans="1:12">
      <c r="A267" s="811"/>
      <c r="B267" s="812"/>
      <c r="C267" s="813" t="s">
        <v>912</v>
      </c>
      <c r="D267" s="586" t="s">
        <v>791</v>
      </c>
      <c r="E267" s="587">
        <v>0.15</v>
      </c>
      <c r="F267" s="587">
        <v>0.08</v>
      </c>
      <c r="G267" s="586">
        <v>10089</v>
      </c>
      <c r="H267" s="586">
        <v>1715</v>
      </c>
      <c r="I267" s="586">
        <v>10089</v>
      </c>
      <c r="J267" s="586">
        <v>1715</v>
      </c>
      <c r="K267" s="813">
        <v>2291</v>
      </c>
      <c r="L267" s="816" t="s">
        <v>782</v>
      </c>
    </row>
    <row r="268" spans="1:12">
      <c r="A268" s="811"/>
      <c r="B268" s="812"/>
      <c r="C268" s="813"/>
      <c r="D268" s="586" t="s">
        <v>792</v>
      </c>
      <c r="E268" s="587">
        <v>6.5000000000000002E-2</v>
      </c>
      <c r="F268" s="587">
        <v>0.02</v>
      </c>
      <c r="G268" s="586">
        <v>6300</v>
      </c>
      <c r="H268" s="586">
        <v>2100</v>
      </c>
      <c r="I268" s="586">
        <v>6300</v>
      </c>
      <c r="J268" s="586">
        <v>2100</v>
      </c>
      <c r="K268" s="813"/>
      <c r="L268" s="816"/>
    </row>
    <row r="269" spans="1:12">
      <c r="A269" s="811"/>
      <c r="B269" s="812"/>
      <c r="C269" s="813"/>
      <c r="D269" s="586" t="s">
        <v>793</v>
      </c>
      <c r="E269" s="587">
        <v>0.01</v>
      </c>
      <c r="F269" s="587"/>
      <c r="G269" s="586">
        <v>6873</v>
      </c>
      <c r="H269" s="586">
        <v>1375</v>
      </c>
      <c r="I269" s="586">
        <v>6873</v>
      </c>
      <c r="J269" s="586">
        <v>1375</v>
      </c>
      <c r="K269" s="813"/>
      <c r="L269" s="816"/>
    </row>
    <row r="270" spans="1:12">
      <c r="A270" s="811"/>
      <c r="B270" s="812"/>
      <c r="C270" s="813"/>
      <c r="D270" s="586" t="s">
        <v>794</v>
      </c>
      <c r="E270" s="590">
        <v>4.4999999999999997E-3</v>
      </c>
      <c r="F270" s="587"/>
      <c r="G270" s="586">
        <v>6873</v>
      </c>
      <c r="H270" s="586">
        <v>1375</v>
      </c>
      <c r="I270" s="586">
        <v>6873</v>
      </c>
      <c r="J270" s="586">
        <v>1375</v>
      </c>
      <c r="K270" s="813"/>
      <c r="L270" s="816"/>
    </row>
    <row r="271" spans="1:12">
      <c r="A271" s="811"/>
      <c r="B271" s="812"/>
      <c r="C271" s="813"/>
      <c r="D271" s="586" t="s">
        <v>795</v>
      </c>
      <c r="E271" s="587">
        <v>0.02</v>
      </c>
      <c r="F271" s="587">
        <v>0.01</v>
      </c>
      <c r="G271" s="586">
        <v>6873</v>
      </c>
      <c r="H271" s="586">
        <v>1375</v>
      </c>
      <c r="I271" s="586">
        <v>6873</v>
      </c>
      <c r="J271" s="586">
        <v>1375</v>
      </c>
      <c r="K271" s="813"/>
      <c r="L271" s="816"/>
    </row>
    <row r="272" spans="1:12">
      <c r="A272" s="811"/>
      <c r="B272" s="812"/>
      <c r="C272" s="813"/>
      <c r="D272" s="586" t="s">
        <v>702</v>
      </c>
      <c r="E272" s="587">
        <v>0.08</v>
      </c>
      <c r="F272" s="587" t="s">
        <v>913</v>
      </c>
      <c r="G272" s="586">
        <v>13405</v>
      </c>
      <c r="H272" s="586">
        <v>950</v>
      </c>
      <c r="I272" s="586">
        <v>13405</v>
      </c>
      <c r="J272" s="586">
        <v>950</v>
      </c>
      <c r="K272" s="813"/>
      <c r="L272" s="816"/>
    </row>
    <row r="273" spans="1:12">
      <c r="A273" s="811"/>
      <c r="B273" s="812"/>
      <c r="C273" s="813" t="s">
        <v>914</v>
      </c>
      <c r="D273" s="586" t="s">
        <v>791</v>
      </c>
      <c r="E273" s="587">
        <v>0.15</v>
      </c>
      <c r="F273" s="587">
        <v>0.08</v>
      </c>
      <c r="G273" s="586">
        <v>10089</v>
      </c>
      <c r="H273" s="586">
        <v>1513</v>
      </c>
      <c r="I273" s="586">
        <v>10089</v>
      </c>
      <c r="J273" s="586">
        <v>1513</v>
      </c>
      <c r="K273" s="813">
        <v>2043</v>
      </c>
      <c r="L273" s="816" t="s">
        <v>915</v>
      </c>
    </row>
    <row r="274" spans="1:12">
      <c r="A274" s="811"/>
      <c r="B274" s="812"/>
      <c r="C274" s="813"/>
      <c r="D274" s="586" t="s">
        <v>792</v>
      </c>
      <c r="E274" s="587">
        <v>6.4000000000000001E-2</v>
      </c>
      <c r="F274" s="587">
        <v>0.02</v>
      </c>
      <c r="G274" s="586">
        <v>6129</v>
      </c>
      <c r="H274" s="586">
        <v>2043</v>
      </c>
      <c r="I274" s="586">
        <v>6129</v>
      </c>
      <c r="J274" s="586">
        <v>2043</v>
      </c>
      <c r="K274" s="813"/>
      <c r="L274" s="816"/>
    </row>
    <row r="275" spans="1:12">
      <c r="A275" s="811"/>
      <c r="B275" s="812"/>
      <c r="C275" s="813"/>
      <c r="D275" s="586" t="s">
        <v>793</v>
      </c>
      <c r="E275" s="587">
        <v>0.01</v>
      </c>
      <c r="F275" s="587"/>
      <c r="G275" s="586">
        <v>6129</v>
      </c>
      <c r="H275" s="586">
        <v>1513</v>
      </c>
      <c r="I275" s="586"/>
      <c r="J275" s="586"/>
      <c r="K275" s="813"/>
      <c r="L275" s="816"/>
    </row>
    <row r="276" spans="1:12">
      <c r="A276" s="811"/>
      <c r="B276" s="812"/>
      <c r="C276" s="813"/>
      <c r="D276" s="586" t="s">
        <v>794</v>
      </c>
      <c r="E276" s="587">
        <v>8.0000000000000002E-3</v>
      </c>
      <c r="F276" s="587"/>
      <c r="G276" s="586">
        <v>6129</v>
      </c>
      <c r="H276" s="586">
        <v>1513</v>
      </c>
      <c r="I276" s="586"/>
      <c r="J276" s="586"/>
      <c r="K276" s="813"/>
      <c r="L276" s="816"/>
    </row>
    <row r="277" spans="1:12">
      <c r="A277" s="811"/>
      <c r="B277" s="812"/>
      <c r="C277" s="813"/>
      <c r="D277" s="586" t="s">
        <v>795</v>
      </c>
      <c r="E277" s="587">
        <v>0.02</v>
      </c>
      <c r="F277" s="587">
        <v>0.01</v>
      </c>
      <c r="G277" s="586">
        <v>6129</v>
      </c>
      <c r="H277" s="586">
        <v>1513</v>
      </c>
      <c r="I277" s="586">
        <v>6129</v>
      </c>
      <c r="J277" s="586">
        <v>1513</v>
      </c>
      <c r="K277" s="813"/>
      <c r="L277" s="816"/>
    </row>
    <row r="278" spans="1:12" ht="26">
      <c r="A278" s="811"/>
      <c r="B278" s="812"/>
      <c r="C278" s="813"/>
      <c r="D278" s="586" t="s">
        <v>702</v>
      </c>
      <c r="E278" s="587">
        <v>0.08</v>
      </c>
      <c r="F278" s="587">
        <v>0.08</v>
      </c>
      <c r="G278" s="586" t="s">
        <v>916</v>
      </c>
      <c r="H278" s="586">
        <v>850</v>
      </c>
      <c r="I278" s="586"/>
      <c r="J278" s="586"/>
      <c r="K278" s="813"/>
      <c r="L278" s="588" t="s">
        <v>917</v>
      </c>
    </row>
    <row r="279" spans="1:12">
      <c r="A279" s="811"/>
      <c r="B279" s="812"/>
      <c r="C279" s="813" t="s">
        <v>918</v>
      </c>
      <c r="D279" s="586" t="s">
        <v>455</v>
      </c>
      <c r="E279" s="587">
        <v>0.1</v>
      </c>
      <c r="F279" s="587">
        <v>0.08</v>
      </c>
      <c r="G279" s="586">
        <v>10080</v>
      </c>
      <c r="H279" s="586">
        <v>1100</v>
      </c>
      <c r="I279" s="586">
        <v>10080</v>
      </c>
      <c r="J279" s="586">
        <v>1100</v>
      </c>
      <c r="K279" s="813">
        <v>3382</v>
      </c>
      <c r="L279" s="816" t="s">
        <v>919</v>
      </c>
    </row>
    <row r="280" spans="1:12">
      <c r="A280" s="811"/>
      <c r="B280" s="812"/>
      <c r="C280" s="813"/>
      <c r="D280" s="586" t="s">
        <v>456</v>
      </c>
      <c r="E280" s="587" t="s">
        <v>920</v>
      </c>
      <c r="F280" s="587" t="s">
        <v>921</v>
      </c>
      <c r="G280" s="586">
        <v>1630</v>
      </c>
      <c r="H280" s="586">
        <v>1630</v>
      </c>
      <c r="I280" s="586">
        <v>1630</v>
      </c>
      <c r="J280" s="586">
        <v>1630</v>
      </c>
      <c r="K280" s="813"/>
      <c r="L280" s="816"/>
    </row>
    <row r="281" spans="1:12">
      <c r="A281" s="811"/>
      <c r="B281" s="812"/>
      <c r="C281" s="813"/>
      <c r="D281" s="586" t="s">
        <v>457</v>
      </c>
      <c r="E281" s="587">
        <v>0.01</v>
      </c>
      <c r="F281" s="587"/>
      <c r="G281" s="586">
        <v>10080</v>
      </c>
      <c r="H281" s="586">
        <v>1100</v>
      </c>
      <c r="I281" s="586">
        <v>10080</v>
      </c>
      <c r="J281" s="586"/>
      <c r="K281" s="813"/>
      <c r="L281" s="816"/>
    </row>
    <row r="282" spans="1:12">
      <c r="A282" s="811"/>
      <c r="B282" s="812"/>
      <c r="C282" s="813"/>
      <c r="D282" s="586" t="s">
        <v>72</v>
      </c>
      <c r="E282" s="587"/>
      <c r="F282" s="587"/>
      <c r="G282" s="586"/>
      <c r="H282" s="586"/>
      <c r="I282" s="586"/>
      <c r="J282" s="586"/>
      <c r="K282" s="813"/>
      <c r="L282" s="816"/>
    </row>
    <row r="283" spans="1:12">
      <c r="A283" s="811"/>
      <c r="B283" s="812"/>
      <c r="C283" s="813"/>
      <c r="D283" s="586" t="s">
        <v>458</v>
      </c>
      <c r="E283" s="587">
        <v>0.01</v>
      </c>
      <c r="F283" s="587"/>
      <c r="G283" s="586">
        <v>10080</v>
      </c>
      <c r="H283" s="586">
        <v>1100</v>
      </c>
      <c r="I283" s="586">
        <v>10080</v>
      </c>
      <c r="J283" s="586"/>
      <c r="K283" s="813"/>
      <c r="L283" s="816"/>
    </row>
    <row r="284" spans="1:12">
      <c r="A284" s="811"/>
      <c r="B284" s="812"/>
      <c r="C284" s="813"/>
      <c r="D284" s="586" t="s">
        <v>702</v>
      </c>
      <c r="E284" s="587" t="s">
        <v>922</v>
      </c>
      <c r="F284" s="587" t="s">
        <v>888</v>
      </c>
      <c r="G284" s="586">
        <v>16910</v>
      </c>
      <c r="H284" s="586">
        <v>1100</v>
      </c>
      <c r="I284" s="586">
        <v>16910</v>
      </c>
      <c r="J284" s="586">
        <v>1100</v>
      </c>
      <c r="K284" s="813"/>
      <c r="L284" s="588" t="s">
        <v>782</v>
      </c>
    </row>
    <row r="285" spans="1:12">
      <c r="A285" s="811"/>
      <c r="B285" s="812"/>
      <c r="C285" s="798" t="s">
        <v>923</v>
      </c>
      <c r="D285" s="586" t="s">
        <v>791</v>
      </c>
      <c r="E285" s="587">
        <v>0.12</v>
      </c>
      <c r="F285" s="587">
        <v>0.08</v>
      </c>
      <c r="G285" s="586">
        <v>10089</v>
      </c>
      <c r="H285" s="586">
        <v>950</v>
      </c>
      <c r="I285" s="586">
        <v>10089</v>
      </c>
      <c r="J285" s="586">
        <v>950</v>
      </c>
      <c r="K285" s="813">
        <v>2467</v>
      </c>
      <c r="L285" s="588" t="s">
        <v>751</v>
      </c>
    </row>
    <row r="286" spans="1:12" ht="26">
      <c r="A286" s="811"/>
      <c r="B286" s="812"/>
      <c r="C286" s="798"/>
      <c r="D286" s="586" t="s">
        <v>792</v>
      </c>
      <c r="E286" s="587">
        <v>6.5000000000000002E-2</v>
      </c>
      <c r="F286" s="587">
        <v>0.02</v>
      </c>
      <c r="G286" s="586" t="s">
        <v>924</v>
      </c>
      <c r="H286" s="586" t="s">
        <v>925</v>
      </c>
      <c r="I286" s="586" t="s">
        <v>924</v>
      </c>
      <c r="J286" s="586" t="s">
        <v>925</v>
      </c>
      <c r="K286" s="813"/>
      <c r="L286" s="588"/>
    </row>
    <row r="287" spans="1:12">
      <c r="A287" s="811"/>
      <c r="B287" s="812"/>
      <c r="C287" s="798"/>
      <c r="D287" s="586" t="s">
        <v>793</v>
      </c>
      <c r="E287" s="587">
        <v>6.0000000000000001E-3</v>
      </c>
      <c r="F287" s="587"/>
      <c r="G287" s="586">
        <v>10089</v>
      </c>
      <c r="H287" s="586">
        <v>950</v>
      </c>
      <c r="I287" s="586"/>
      <c r="J287" s="586"/>
      <c r="K287" s="813"/>
      <c r="L287" s="588"/>
    </row>
    <row r="288" spans="1:12">
      <c r="A288" s="811"/>
      <c r="B288" s="812"/>
      <c r="C288" s="798"/>
      <c r="D288" s="586" t="s">
        <v>794</v>
      </c>
      <c r="E288" s="587"/>
      <c r="F288" s="587"/>
      <c r="G288" s="586"/>
      <c r="H288" s="586"/>
      <c r="I288" s="586"/>
      <c r="J288" s="586"/>
      <c r="K288" s="813"/>
      <c r="L288" s="588"/>
    </row>
    <row r="289" spans="1:12">
      <c r="A289" s="811"/>
      <c r="B289" s="812"/>
      <c r="C289" s="798"/>
      <c r="D289" s="586" t="s">
        <v>795</v>
      </c>
      <c r="E289" s="587">
        <v>5.0000000000000001E-3</v>
      </c>
      <c r="F289" s="587">
        <v>5.0000000000000001E-3</v>
      </c>
      <c r="G289" s="586">
        <v>10089</v>
      </c>
      <c r="H289" s="586">
        <v>950</v>
      </c>
      <c r="I289" s="586">
        <v>10089</v>
      </c>
      <c r="J289" s="586">
        <v>950</v>
      </c>
      <c r="K289" s="813"/>
      <c r="L289" s="588" t="s">
        <v>751</v>
      </c>
    </row>
    <row r="290" spans="1:12">
      <c r="A290" s="811"/>
      <c r="B290" s="812"/>
      <c r="C290" s="798"/>
      <c r="D290" s="586" t="s">
        <v>702</v>
      </c>
      <c r="E290" s="587">
        <v>0.05</v>
      </c>
      <c r="F290" s="587" t="s">
        <v>926</v>
      </c>
      <c r="G290" s="586">
        <v>15430</v>
      </c>
      <c r="H290" s="586">
        <v>950</v>
      </c>
      <c r="I290" s="586">
        <v>15430</v>
      </c>
      <c r="J290" s="586">
        <v>950</v>
      </c>
      <c r="K290" s="813"/>
      <c r="L290" s="588" t="s">
        <v>737</v>
      </c>
    </row>
    <row r="291" spans="1:12">
      <c r="A291" s="811"/>
      <c r="B291" s="812" t="s">
        <v>927</v>
      </c>
      <c r="C291" s="798" t="s">
        <v>928</v>
      </c>
      <c r="D291" s="586" t="s">
        <v>791</v>
      </c>
      <c r="E291" s="587">
        <v>0.2</v>
      </c>
      <c r="F291" s="587">
        <v>0.08</v>
      </c>
      <c r="G291" s="586">
        <v>7960.5</v>
      </c>
      <c r="H291" s="586">
        <v>1592.1</v>
      </c>
      <c r="I291" s="586">
        <v>7960.5</v>
      </c>
      <c r="J291" s="586">
        <v>1592.1</v>
      </c>
      <c r="K291" s="813">
        <v>2653.5</v>
      </c>
      <c r="L291" s="816" t="s">
        <v>732</v>
      </c>
    </row>
    <row r="292" spans="1:12">
      <c r="A292" s="811"/>
      <c r="B292" s="812"/>
      <c r="C292" s="798"/>
      <c r="D292" s="586" t="s">
        <v>792</v>
      </c>
      <c r="E292" s="587">
        <v>0.08</v>
      </c>
      <c r="F292" s="587">
        <v>0.02</v>
      </c>
      <c r="G292" s="586">
        <v>7960.5</v>
      </c>
      <c r="H292" s="586">
        <v>1592.1</v>
      </c>
      <c r="I292" s="586">
        <v>7960.5</v>
      </c>
      <c r="J292" s="586">
        <v>1592.1</v>
      </c>
      <c r="K292" s="813"/>
      <c r="L292" s="816"/>
    </row>
    <row r="293" spans="1:12">
      <c r="A293" s="811"/>
      <c r="B293" s="812"/>
      <c r="C293" s="798"/>
      <c r="D293" s="586" t="s">
        <v>793</v>
      </c>
      <c r="E293" s="587">
        <v>5.0000000000000001E-3</v>
      </c>
      <c r="F293" s="587"/>
      <c r="G293" s="586">
        <v>7960.5</v>
      </c>
      <c r="H293" s="586">
        <v>1592.1</v>
      </c>
      <c r="I293" s="586"/>
      <c r="J293" s="586"/>
      <c r="K293" s="813"/>
      <c r="L293" s="816"/>
    </row>
    <row r="294" spans="1:12">
      <c r="A294" s="811"/>
      <c r="B294" s="812"/>
      <c r="C294" s="798"/>
      <c r="D294" s="586" t="s">
        <v>794</v>
      </c>
      <c r="E294" s="587">
        <v>6.0000000000000001E-3</v>
      </c>
      <c r="F294" s="587"/>
      <c r="G294" s="586">
        <v>7960.5</v>
      </c>
      <c r="H294" s="586">
        <v>1592.1</v>
      </c>
      <c r="I294" s="586"/>
      <c r="J294" s="586"/>
      <c r="K294" s="813"/>
      <c r="L294" s="816"/>
    </row>
    <row r="295" spans="1:12">
      <c r="A295" s="811"/>
      <c r="B295" s="812"/>
      <c r="C295" s="798"/>
      <c r="D295" s="586" t="s">
        <v>795</v>
      </c>
      <c r="E295" s="587">
        <v>0.02</v>
      </c>
      <c r="F295" s="587">
        <v>0.01</v>
      </c>
      <c r="G295" s="586">
        <v>7960.5</v>
      </c>
      <c r="H295" s="586">
        <v>1592.1</v>
      </c>
      <c r="I295" s="586">
        <v>7960.5</v>
      </c>
      <c r="J295" s="586">
        <v>1592.1</v>
      </c>
      <c r="K295" s="813"/>
      <c r="L295" s="816"/>
    </row>
    <row r="296" spans="1:12">
      <c r="A296" s="811"/>
      <c r="B296" s="812"/>
      <c r="C296" s="798"/>
      <c r="D296" s="586" t="s">
        <v>702</v>
      </c>
      <c r="E296" s="587">
        <v>0.15</v>
      </c>
      <c r="F296" s="587">
        <v>0.15</v>
      </c>
      <c r="G296" s="586">
        <v>10866</v>
      </c>
      <c r="H296" s="586">
        <v>820</v>
      </c>
      <c r="I296" s="586">
        <v>10866</v>
      </c>
      <c r="J296" s="586">
        <v>820</v>
      </c>
      <c r="K296" s="586">
        <v>32596</v>
      </c>
      <c r="L296" s="816"/>
    </row>
    <row r="297" spans="1:12">
      <c r="A297" s="811"/>
      <c r="B297" s="812" t="s">
        <v>929</v>
      </c>
      <c r="C297" s="798" t="s">
        <v>930</v>
      </c>
      <c r="D297" s="586" t="s">
        <v>791</v>
      </c>
      <c r="E297" s="587">
        <v>0.18</v>
      </c>
      <c r="F297" s="587">
        <v>0.08</v>
      </c>
      <c r="G297" s="586">
        <v>7713</v>
      </c>
      <c r="H297" s="586">
        <v>950</v>
      </c>
      <c r="I297" s="586">
        <v>7713</v>
      </c>
      <c r="J297" s="586">
        <v>950</v>
      </c>
      <c r="K297" s="813">
        <v>2900.5</v>
      </c>
      <c r="L297" s="588" t="s">
        <v>931</v>
      </c>
    </row>
    <row r="298" spans="1:12">
      <c r="A298" s="811"/>
      <c r="B298" s="812"/>
      <c r="C298" s="798"/>
      <c r="D298" s="586" t="s">
        <v>792</v>
      </c>
      <c r="E298" s="587">
        <v>0.08</v>
      </c>
      <c r="F298" s="587">
        <v>0.02</v>
      </c>
      <c r="G298" s="586">
        <v>8701.5</v>
      </c>
      <c r="H298" s="586">
        <v>2030.35</v>
      </c>
      <c r="I298" s="586">
        <v>8701.5</v>
      </c>
      <c r="J298" s="586">
        <v>2030.35</v>
      </c>
      <c r="K298" s="813"/>
      <c r="L298" s="588" t="s">
        <v>932</v>
      </c>
    </row>
    <row r="299" spans="1:12">
      <c r="A299" s="811"/>
      <c r="B299" s="812"/>
      <c r="C299" s="798"/>
      <c r="D299" s="586" t="s">
        <v>793</v>
      </c>
      <c r="E299" s="587">
        <v>5.0000000000000001E-3</v>
      </c>
      <c r="F299" s="587"/>
      <c r="G299" s="586">
        <v>7713</v>
      </c>
      <c r="H299" s="586">
        <v>1535.2</v>
      </c>
      <c r="I299" s="586">
        <v>7713</v>
      </c>
      <c r="J299" s="586"/>
      <c r="K299" s="813"/>
      <c r="L299" s="588" t="s">
        <v>931</v>
      </c>
    </row>
    <row r="300" spans="1:12">
      <c r="A300" s="811"/>
      <c r="B300" s="812"/>
      <c r="C300" s="798"/>
      <c r="D300" s="586" t="s">
        <v>794</v>
      </c>
      <c r="E300" s="587">
        <v>7.0000000000000001E-3</v>
      </c>
      <c r="F300" s="587"/>
      <c r="G300" s="586">
        <v>7713</v>
      </c>
      <c r="H300" s="586">
        <v>1535.2</v>
      </c>
      <c r="I300" s="586">
        <v>7713</v>
      </c>
      <c r="J300" s="586"/>
      <c r="K300" s="813"/>
      <c r="L300" s="588" t="s">
        <v>931</v>
      </c>
    </row>
    <row r="301" spans="1:12">
      <c r="A301" s="811"/>
      <c r="B301" s="812"/>
      <c r="C301" s="798"/>
      <c r="D301" s="586" t="s">
        <v>795</v>
      </c>
      <c r="E301" s="587">
        <v>0.02</v>
      </c>
      <c r="F301" s="587">
        <v>0.01</v>
      </c>
      <c r="G301" s="586">
        <v>7713</v>
      </c>
      <c r="H301" s="586">
        <v>950</v>
      </c>
      <c r="I301" s="586">
        <v>7713</v>
      </c>
      <c r="J301" s="586">
        <v>950</v>
      </c>
      <c r="K301" s="813"/>
      <c r="L301" s="588" t="s">
        <v>931</v>
      </c>
    </row>
    <row r="302" spans="1:12">
      <c r="A302" s="811"/>
      <c r="B302" s="812"/>
      <c r="C302" s="798"/>
      <c r="D302" s="586" t="s">
        <v>702</v>
      </c>
      <c r="E302" s="587">
        <v>0.12</v>
      </c>
      <c r="F302" s="587">
        <v>0.12</v>
      </c>
      <c r="G302" s="586">
        <v>8424</v>
      </c>
      <c r="H302" s="586">
        <v>800</v>
      </c>
      <c r="I302" s="586">
        <v>8424</v>
      </c>
      <c r="J302" s="586">
        <v>950</v>
      </c>
      <c r="K302" s="813"/>
      <c r="L302" s="588" t="s">
        <v>737</v>
      </c>
    </row>
    <row r="303" spans="1:12" ht="26">
      <c r="A303" s="811"/>
      <c r="B303" s="812"/>
      <c r="C303" s="798" t="s">
        <v>933</v>
      </c>
      <c r="D303" s="586" t="s">
        <v>791</v>
      </c>
      <c r="E303" s="587" t="s">
        <v>934</v>
      </c>
      <c r="F303" s="587" t="s">
        <v>935</v>
      </c>
      <c r="G303" s="586" t="s">
        <v>936</v>
      </c>
      <c r="H303" s="586" t="s">
        <v>937</v>
      </c>
      <c r="I303" s="586" t="s">
        <v>936</v>
      </c>
      <c r="J303" s="586" t="s">
        <v>937</v>
      </c>
      <c r="K303" s="813">
        <v>3357</v>
      </c>
      <c r="L303" s="816" t="s">
        <v>938</v>
      </c>
    </row>
    <row r="304" spans="1:12" ht="26">
      <c r="A304" s="811"/>
      <c r="B304" s="812"/>
      <c r="C304" s="798"/>
      <c r="D304" s="586" t="s">
        <v>792</v>
      </c>
      <c r="E304" s="587" t="s">
        <v>939</v>
      </c>
      <c r="F304" s="587" t="s">
        <v>940</v>
      </c>
      <c r="G304" s="586" t="s">
        <v>941</v>
      </c>
      <c r="H304" s="586" t="s">
        <v>942</v>
      </c>
      <c r="I304" s="586" t="s">
        <v>941</v>
      </c>
      <c r="J304" s="586" t="s">
        <v>942</v>
      </c>
      <c r="K304" s="813"/>
      <c r="L304" s="816"/>
    </row>
    <row r="305" spans="1:12" ht="26">
      <c r="A305" s="811"/>
      <c r="B305" s="812"/>
      <c r="C305" s="798"/>
      <c r="D305" s="586" t="s">
        <v>793</v>
      </c>
      <c r="E305" s="587" t="s">
        <v>943</v>
      </c>
      <c r="F305" s="587">
        <v>0</v>
      </c>
      <c r="G305" s="586" t="s">
        <v>944</v>
      </c>
      <c r="H305" s="586" t="s">
        <v>937</v>
      </c>
      <c r="I305" s="586">
        <v>0</v>
      </c>
      <c r="J305" s="586">
        <v>0</v>
      </c>
      <c r="K305" s="813"/>
      <c r="L305" s="816"/>
    </row>
    <row r="306" spans="1:12" ht="26">
      <c r="A306" s="811"/>
      <c r="B306" s="812"/>
      <c r="C306" s="798"/>
      <c r="D306" s="586" t="s">
        <v>794</v>
      </c>
      <c r="E306" s="587" t="s">
        <v>945</v>
      </c>
      <c r="F306" s="587">
        <v>0</v>
      </c>
      <c r="G306" s="586" t="s">
        <v>946</v>
      </c>
      <c r="H306" s="586" t="s">
        <v>942</v>
      </c>
      <c r="I306" s="586" t="s">
        <v>947</v>
      </c>
      <c r="J306" s="586" t="s">
        <v>948</v>
      </c>
      <c r="K306" s="813"/>
      <c r="L306" s="816"/>
    </row>
    <row r="307" spans="1:12" ht="26">
      <c r="A307" s="811"/>
      <c r="B307" s="812"/>
      <c r="C307" s="798"/>
      <c r="D307" s="586" t="s">
        <v>795</v>
      </c>
      <c r="E307" s="587" t="s">
        <v>940</v>
      </c>
      <c r="F307" s="587" t="s">
        <v>949</v>
      </c>
      <c r="G307" s="586" t="s">
        <v>944</v>
      </c>
      <c r="H307" s="586" t="s">
        <v>937</v>
      </c>
      <c r="I307" s="586" t="s">
        <v>950</v>
      </c>
      <c r="J307" s="586" t="s">
        <v>951</v>
      </c>
      <c r="K307" s="813"/>
      <c r="L307" s="816"/>
    </row>
    <row r="308" spans="1:12">
      <c r="A308" s="811"/>
      <c r="B308" s="812"/>
      <c r="C308" s="798"/>
      <c r="D308" s="586" t="s">
        <v>702</v>
      </c>
      <c r="E308" s="587">
        <v>0.12</v>
      </c>
      <c r="F308" s="587">
        <v>0.12</v>
      </c>
      <c r="G308" s="586">
        <v>16783</v>
      </c>
      <c r="H308" s="586">
        <v>1100</v>
      </c>
      <c r="I308" s="586">
        <v>16783</v>
      </c>
      <c r="J308" s="586">
        <v>1100</v>
      </c>
      <c r="K308" s="813"/>
      <c r="L308" s="816"/>
    </row>
    <row r="309" spans="1:12">
      <c r="A309" s="811"/>
      <c r="B309" s="812"/>
      <c r="C309" s="813" t="s">
        <v>952</v>
      </c>
      <c r="D309" s="586" t="s">
        <v>791</v>
      </c>
      <c r="E309" s="587">
        <v>0.18</v>
      </c>
      <c r="F309" s="587">
        <v>0.08</v>
      </c>
      <c r="G309" s="586">
        <v>6774</v>
      </c>
      <c r="H309" s="586">
        <v>1150</v>
      </c>
      <c r="I309" s="586">
        <v>6774</v>
      </c>
      <c r="J309" s="586">
        <v>1150</v>
      </c>
      <c r="K309" s="813">
        <v>2409.08</v>
      </c>
      <c r="L309" s="588" t="s">
        <v>953</v>
      </c>
    </row>
    <row r="310" spans="1:12">
      <c r="A310" s="811"/>
      <c r="B310" s="812"/>
      <c r="C310" s="813"/>
      <c r="D310" s="586" t="s">
        <v>792</v>
      </c>
      <c r="E310" s="587">
        <v>7.4999999999999997E-2</v>
      </c>
      <c r="F310" s="587">
        <v>0.02</v>
      </c>
      <c r="G310" s="586">
        <v>5100</v>
      </c>
      <c r="H310" s="586">
        <v>1700</v>
      </c>
      <c r="I310" s="586">
        <v>5100</v>
      </c>
      <c r="J310" s="586">
        <v>1700</v>
      </c>
      <c r="K310" s="813"/>
      <c r="L310" s="588" t="s">
        <v>954</v>
      </c>
    </row>
    <row r="311" spans="1:12">
      <c r="A311" s="811"/>
      <c r="B311" s="812"/>
      <c r="C311" s="813"/>
      <c r="D311" s="586" t="s">
        <v>793</v>
      </c>
      <c r="E311" s="587">
        <v>5.0000000000000001E-3</v>
      </c>
      <c r="F311" s="587"/>
      <c r="G311" s="586">
        <v>1200</v>
      </c>
      <c r="H311" s="586">
        <v>1200</v>
      </c>
      <c r="I311" s="586"/>
      <c r="J311" s="586"/>
      <c r="K311" s="813"/>
      <c r="L311" s="588"/>
    </row>
    <row r="312" spans="1:12">
      <c r="A312" s="811"/>
      <c r="B312" s="812"/>
      <c r="C312" s="813"/>
      <c r="D312" s="586" t="s">
        <v>794</v>
      </c>
      <c r="E312" s="587">
        <v>7.0000000000000001E-3</v>
      </c>
      <c r="F312" s="587"/>
      <c r="G312" s="586">
        <v>1200</v>
      </c>
      <c r="H312" s="586">
        <v>1200</v>
      </c>
      <c r="I312" s="586"/>
      <c r="J312" s="586"/>
      <c r="K312" s="813"/>
      <c r="L312" s="588"/>
    </row>
    <row r="313" spans="1:12">
      <c r="A313" s="811"/>
      <c r="B313" s="812"/>
      <c r="C313" s="813"/>
      <c r="D313" s="586" t="s">
        <v>795</v>
      </c>
      <c r="E313" s="587">
        <v>0.02</v>
      </c>
      <c r="F313" s="587">
        <v>0.01</v>
      </c>
      <c r="G313" s="586">
        <v>6774</v>
      </c>
      <c r="H313" s="586">
        <v>1150</v>
      </c>
      <c r="I313" s="586">
        <v>6774</v>
      </c>
      <c r="J313" s="586">
        <v>1150</v>
      </c>
      <c r="K313" s="813"/>
      <c r="L313" s="588" t="s">
        <v>953</v>
      </c>
    </row>
    <row r="314" spans="1:12">
      <c r="A314" s="811"/>
      <c r="B314" s="812"/>
      <c r="C314" s="813"/>
      <c r="D314" s="586" t="s">
        <v>702</v>
      </c>
      <c r="E314" s="587">
        <v>0.1</v>
      </c>
      <c r="F314" s="587">
        <v>0.1</v>
      </c>
      <c r="G314" s="586">
        <v>7227</v>
      </c>
      <c r="H314" s="586">
        <v>800</v>
      </c>
      <c r="I314" s="586">
        <v>7227</v>
      </c>
      <c r="J314" s="586">
        <v>800</v>
      </c>
      <c r="K314" s="813"/>
      <c r="L314" s="588" t="s">
        <v>953</v>
      </c>
    </row>
    <row r="315" spans="1:12">
      <c r="A315" s="821" t="s">
        <v>955</v>
      </c>
      <c r="B315" s="824" t="s">
        <v>956</v>
      </c>
      <c r="C315" s="824" t="s">
        <v>957</v>
      </c>
      <c r="D315" s="591" t="s">
        <v>791</v>
      </c>
      <c r="E315" s="592">
        <v>0.2</v>
      </c>
      <c r="F315" s="592">
        <v>0.08</v>
      </c>
      <c r="G315" s="591">
        <v>8574</v>
      </c>
      <c r="H315" s="591">
        <v>1715</v>
      </c>
      <c r="I315" s="591">
        <v>8574</v>
      </c>
      <c r="J315" s="591">
        <v>1715</v>
      </c>
      <c r="K315" s="825">
        <v>3156</v>
      </c>
      <c r="L315" s="826" t="s">
        <v>958</v>
      </c>
    </row>
    <row r="316" spans="1:12">
      <c r="A316" s="821"/>
      <c r="B316" s="824"/>
      <c r="C316" s="824"/>
      <c r="D316" s="591" t="s">
        <v>792</v>
      </c>
      <c r="E316" s="592">
        <v>7.0000000000000007E-2</v>
      </c>
      <c r="F316" s="592">
        <v>0.02</v>
      </c>
      <c r="G316" s="591">
        <v>9468</v>
      </c>
      <c r="H316" s="591">
        <v>1894</v>
      </c>
      <c r="I316" s="591">
        <v>9468</v>
      </c>
      <c r="J316" s="591">
        <v>1894</v>
      </c>
      <c r="K316" s="825"/>
      <c r="L316" s="826"/>
    </row>
    <row r="317" spans="1:12">
      <c r="A317" s="821"/>
      <c r="B317" s="824"/>
      <c r="C317" s="824"/>
      <c r="D317" s="591" t="s">
        <v>793</v>
      </c>
      <c r="E317" s="592">
        <v>5.0000000000000001E-3</v>
      </c>
      <c r="F317" s="592"/>
      <c r="G317" s="591">
        <v>9468</v>
      </c>
      <c r="H317" s="591">
        <v>1894</v>
      </c>
      <c r="I317" s="591"/>
      <c r="J317" s="591"/>
      <c r="K317" s="825"/>
      <c r="L317" s="826"/>
    </row>
    <row r="318" spans="1:12">
      <c r="A318" s="821"/>
      <c r="B318" s="824"/>
      <c r="C318" s="824"/>
      <c r="D318" s="591" t="s">
        <v>794</v>
      </c>
      <c r="E318" s="592">
        <v>5.0000000000000001E-3</v>
      </c>
      <c r="F318" s="592"/>
      <c r="G318" s="591">
        <v>9468</v>
      </c>
      <c r="H318" s="591">
        <v>1894</v>
      </c>
      <c r="I318" s="591"/>
      <c r="J318" s="591"/>
      <c r="K318" s="825"/>
      <c r="L318" s="826"/>
    </row>
    <row r="319" spans="1:12">
      <c r="A319" s="821"/>
      <c r="B319" s="824"/>
      <c r="C319" s="824"/>
      <c r="D319" s="591" t="s">
        <v>795</v>
      </c>
      <c r="E319" s="592">
        <v>0.02</v>
      </c>
      <c r="F319" s="592">
        <v>0.01</v>
      </c>
      <c r="G319" s="591">
        <v>9468</v>
      </c>
      <c r="H319" s="591">
        <v>1894</v>
      </c>
      <c r="I319" s="591">
        <v>9468</v>
      </c>
      <c r="J319" s="591">
        <v>1894</v>
      </c>
      <c r="K319" s="825"/>
      <c r="L319" s="826"/>
    </row>
    <row r="320" spans="1:12">
      <c r="A320" s="821"/>
      <c r="B320" s="824"/>
      <c r="C320" s="824"/>
      <c r="D320" s="591" t="s">
        <v>701</v>
      </c>
      <c r="E320" s="592">
        <v>0.1</v>
      </c>
      <c r="F320" s="592">
        <v>0.1</v>
      </c>
      <c r="G320" s="591">
        <v>15780</v>
      </c>
      <c r="H320" s="591">
        <v>760</v>
      </c>
      <c r="I320" s="591">
        <v>15780</v>
      </c>
      <c r="J320" s="591">
        <v>760</v>
      </c>
      <c r="K320" s="825"/>
      <c r="L320" s="593" t="s">
        <v>838</v>
      </c>
    </row>
    <row r="321" spans="1:12">
      <c r="A321" s="822"/>
      <c r="B321" s="824" t="s">
        <v>959</v>
      </c>
      <c r="C321" s="807" t="s">
        <v>960</v>
      </c>
      <c r="D321" s="591" t="s">
        <v>791</v>
      </c>
      <c r="E321" s="592">
        <v>0.2</v>
      </c>
      <c r="F321" s="592">
        <v>0.08</v>
      </c>
      <c r="G321" s="591">
        <v>7398</v>
      </c>
      <c r="H321" s="591">
        <v>1480</v>
      </c>
      <c r="I321" s="591">
        <v>7398</v>
      </c>
      <c r="J321" s="591">
        <v>1480</v>
      </c>
      <c r="K321" s="825">
        <v>2466</v>
      </c>
      <c r="L321" s="826" t="s">
        <v>717</v>
      </c>
    </row>
    <row r="322" spans="1:12">
      <c r="A322" s="822"/>
      <c r="B322" s="824"/>
      <c r="C322" s="807"/>
      <c r="D322" s="591" t="s">
        <v>792</v>
      </c>
      <c r="E322" s="592">
        <v>7.4999999999999997E-2</v>
      </c>
      <c r="F322" s="592">
        <v>0.02</v>
      </c>
      <c r="G322" s="591">
        <v>7398</v>
      </c>
      <c r="H322" s="591">
        <v>1480</v>
      </c>
      <c r="I322" s="591">
        <v>7398</v>
      </c>
      <c r="J322" s="591">
        <v>1480</v>
      </c>
      <c r="K322" s="825"/>
      <c r="L322" s="826"/>
    </row>
    <row r="323" spans="1:12">
      <c r="A323" s="822"/>
      <c r="B323" s="824"/>
      <c r="C323" s="807"/>
      <c r="D323" s="591" t="s">
        <v>793</v>
      </c>
      <c r="E323" s="592">
        <v>5.0000000000000001E-3</v>
      </c>
      <c r="F323" s="592"/>
      <c r="G323" s="591">
        <v>7398</v>
      </c>
      <c r="H323" s="591">
        <v>1480</v>
      </c>
      <c r="I323" s="591"/>
      <c r="J323" s="591"/>
      <c r="K323" s="825"/>
      <c r="L323" s="826"/>
    </row>
    <row r="324" spans="1:12">
      <c r="A324" s="822"/>
      <c r="B324" s="824"/>
      <c r="C324" s="807"/>
      <c r="D324" s="591" t="s">
        <v>794</v>
      </c>
      <c r="E324" s="592">
        <v>8.0000000000000002E-3</v>
      </c>
      <c r="F324" s="592"/>
      <c r="G324" s="591">
        <v>7398</v>
      </c>
      <c r="H324" s="591">
        <v>1480</v>
      </c>
      <c r="I324" s="591"/>
      <c r="J324" s="591"/>
      <c r="K324" s="825"/>
      <c r="L324" s="826"/>
    </row>
    <row r="325" spans="1:12">
      <c r="A325" s="822"/>
      <c r="B325" s="824"/>
      <c r="C325" s="807"/>
      <c r="D325" s="591" t="s">
        <v>795</v>
      </c>
      <c r="E325" s="592">
        <v>0.02</v>
      </c>
      <c r="F325" s="592">
        <v>0.01</v>
      </c>
      <c r="G325" s="591">
        <v>7398</v>
      </c>
      <c r="H325" s="591">
        <v>1480</v>
      </c>
      <c r="I325" s="591">
        <v>7398</v>
      </c>
      <c r="J325" s="591">
        <v>1480</v>
      </c>
      <c r="K325" s="825"/>
      <c r="L325" s="826"/>
    </row>
    <row r="326" spans="1:12">
      <c r="A326" s="822"/>
      <c r="B326" s="824"/>
      <c r="C326" s="807"/>
      <c r="D326" s="591" t="s">
        <v>701</v>
      </c>
      <c r="E326" s="592">
        <v>0.1</v>
      </c>
      <c r="F326" s="592">
        <v>0.1</v>
      </c>
      <c r="G326" s="591">
        <v>8845</v>
      </c>
      <c r="H326" s="591">
        <v>800</v>
      </c>
      <c r="I326" s="591">
        <v>8845</v>
      </c>
      <c r="J326" s="591">
        <v>800</v>
      </c>
      <c r="K326" s="825"/>
      <c r="L326" s="593" t="s">
        <v>838</v>
      </c>
    </row>
    <row r="327" spans="1:12">
      <c r="A327" s="822"/>
      <c r="B327" s="824" t="s">
        <v>961</v>
      </c>
      <c r="C327" s="824" t="s">
        <v>962</v>
      </c>
      <c r="D327" s="591" t="s">
        <v>791</v>
      </c>
      <c r="E327" s="592">
        <v>0.2</v>
      </c>
      <c r="F327" s="592">
        <v>0.08</v>
      </c>
      <c r="G327" s="591">
        <v>7396.99</v>
      </c>
      <c r="H327" s="591">
        <v>1479.4</v>
      </c>
      <c r="I327" s="591">
        <v>7396.99</v>
      </c>
      <c r="J327" s="591">
        <v>1479.4</v>
      </c>
      <c r="K327" s="825">
        <v>2465.6</v>
      </c>
      <c r="L327" s="593" t="s">
        <v>963</v>
      </c>
    </row>
    <row r="328" spans="1:12">
      <c r="A328" s="822"/>
      <c r="B328" s="824"/>
      <c r="C328" s="824"/>
      <c r="D328" s="591" t="s">
        <v>792</v>
      </c>
      <c r="E328" s="592">
        <v>0.06</v>
      </c>
      <c r="F328" s="592">
        <v>0.02</v>
      </c>
      <c r="G328" s="591">
        <v>7396.99</v>
      </c>
      <c r="H328" s="591">
        <v>1480</v>
      </c>
      <c r="I328" s="591">
        <v>7396.99</v>
      </c>
      <c r="J328" s="591">
        <v>1480</v>
      </c>
      <c r="K328" s="825"/>
      <c r="L328" s="593" t="s">
        <v>732</v>
      </c>
    </row>
    <row r="329" spans="1:12">
      <c r="A329" s="822"/>
      <c r="B329" s="824"/>
      <c r="C329" s="824"/>
      <c r="D329" s="591" t="s">
        <v>793</v>
      </c>
      <c r="E329" s="592">
        <v>5.0000000000000001E-3</v>
      </c>
      <c r="F329" s="592"/>
      <c r="G329" s="591">
        <v>7396.99</v>
      </c>
      <c r="H329" s="591">
        <v>1480</v>
      </c>
      <c r="I329" s="591"/>
      <c r="J329" s="591"/>
      <c r="K329" s="825"/>
      <c r="L329" s="593" t="s">
        <v>732</v>
      </c>
    </row>
    <row r="330" spans="1:12">
      <c r="A330" s="822"/>
      <c r="B330" s="824"/>
      <c r="C330" s="824"/>
      <c r="D330" s="591" t="s">
        <v>794</v>
      </c>
      <c r="E330" s="592">
        <v>7.0000000000000001E-3</v>
      </c>
      <c r="F330" s="592"/>
      <c r="G330" s="591">
        <v>7396.99</v>
      </c>
      <c r="H330" s="591">
        <v>1480</v>
      </c>
      <c r="I330" s="591"/>
      <c r="J330" s="591"/>
      <c r="K330" s="825"/>
      <c r="L330" s="593" t="s">
        <v>732</v>
      </c>
    </row>
    <row r="331" spans="1:12">
      <c r="A331" s="822"/>
      <c r="B331" s="824"/>
      <c r="C331" s="824"/>
      <c r="D331" s="591" t="s">
        <v>795</v>
      </c>
      <c r="E331" s="592">
        <v>0.02</v>
      </c>
      <c r="F331" s="592">
        <v>0.01</v>
      </c>
      <c r="G331" s="591">
        <v>7396.99</v>
      </c>
      <c r="H331" s="591">
        <v>1479.4</v>
      </c>
      <c r="I331" s="591">
        <v>7396.99</v>
      </c>
      <c r="J331" s="591">
        <v>1479.4</v>
      </c>
      <c r="K331" s="825"/>
      <c r="L331" s="593" t="s">
        <v>964</v>
      </c>
    </row>
    <row r="332" spans="1:12">
      <c r="A332" s="822"/>
      <c r="B332" s="824"/>
      <c r="C332" s="824"/>
      <c r="D332" s="591" t="s">
        <v>701</v>
      </c>
      <c r="E332" s="592">
        <v>7.0000000000000007E-2</v>
      </c>
      <c r="F332" s="592">
        <v>7.0000000000000007E-2</v>
      </c>
      <c r="G332" s="591" t="s">
        <v>739</v>
      </c>
      <c r="H332" s="591">
        <v>1359</v>
      </c>
      <c r="I332" s="591" t="s">
        <v>739</v>
      </c>
      <c r="J332" s="591">
        <v>1359</v>
      </c>
      <c r="K332" s="825"/>
      <c r="L332" s="593" t="s">
        <v>963</v>
      </c>
    </row>
    <row r="333" spans="1:12">
      <c r="A333" s="822"/>
      <c r="B333" s="824" t="s">
        <v>965</v>
      </c>
      <c r="C333" s="824" t="s">
        <v>966</v>
      </c>
      <c r="D333" s="591" t="s">
        <v>791</v>
      </c>
      <c r="E333" s="592">
        <v>0.2</v>
      </c>
      <c r="F333" s="592">
        <v>0.08</v>
      </c>
      <c r="G333" s="591">
        <v>9786</v>
      </c>
      <c r="H333" s="591">
        <v>1958</v>
      </c>
      <c r="I333" s="591">
        <v>9786</v>
      </c>
      <c r="J333" s="591">
        <v>1958</v>
      </c>
      <c r="K333" s="825">
        <v>3262</v>
      </c>
      <c r="L333" s="593" t="s">
        <v>717</v>
      </c>
    </row>
    <row r="334" spans="1:12">
      <c r="A334" s="822"/>
      <c r="B334" s="824"/>
      <c r="C334" s="824"/>
      <c r="D334" s="591" t="s">
        <v>792</v>
      </c>
      <c r="E334" s="592">
        <v>0.06</v>
      </c>
      <c r="F334" s="592">
        <v>0.02</v>
      </c>
      <c r="G334" s="591">
        <v>9786</v>
      </c>
      <c r="H334" s="591">
        <v>1958</v>
      </c>
      <c r="I334" s="591">
        <v>9786</v>
      </c>
      <c r="J334" s="591">
        <v>1958</v>
      </c>
      <c r="K334" s="825"/>
      <c r="L334" s="593" t="s">
        <v>838</v>
      </c>
    </row>
    <row r="335" spans="1:12">
      <c r="A335" s="822"/>
      <c r="B335" s="824"/>
      <c r="C335" s="824"/>
      <c r="D335" s="591" t="s">
        <v>793</v>
      </c>
      <c r="E335" s="592">
        <v>4.0000000000000001E-3</v>
      </c>
      <c r="F335" s="592"/>
      <c r="G335" s="591">
        <v>9786</v>
      </c>
      <c r="H335" s="591">
        <v>1958</v>
      </c>
      <c r="I335" s="591"/>
      <c r="J335" s="591"/>
      <c r="K335" s="825"/>
      <c r="L335" s="593" t="s">
        <v>838</v>
      </c>
    </row>
    <row r="336" spans="1:12">
      <c r="A336" s="822"/>
      <c r="B336" s="824"/>
      <c r="C336" s="824"/>
      <c r="D336" s="591" t="s">
        <v>794</v>
      </c>
      <c r="E336" s="594">
        <v>8.5000000000000006E-3</v>
      </c>
      <c r="F336" s="592"/>
      <c r="G336" s="591">
        <v>9786</v>
      </c>
      <c r="H336" s="591">
        <v>1958</v>
      </c>
      <c r="I336" s="591"/>
      <c r="J336" s="591"/>
      <c r="K336" s="825"/>
      <c r="L336" s="593" t="s">
        <v>838</v>
      </c>
    </row>
    <row r="337" spans="1:12">
      <c r="A337" s="822"/>
      <c r="B337" s="824"/>
      <c r="C337" s="824"/>
      <c r="D337" s="591" t="s">
        <v>795</v>
      </c>
      <c r="E337" s="592">
        <v>0.01</v>
      </c>
      <c r="F337" s="592">
        <v>0.01</v>
      </c>
      <c r="G337" s="591">
        <v>9786</v>
      </c>
      <c r="H337" s="591">
        <v>1958</v>
      </c>
      <c r="I337" s="591">
        <v>9786</v>
      </c>
      <c r="J337" s="591">
        <v>1958</v>
      </c>
      <c r="K337" s="825"/>
      <c r="L337" s="593" t="s">
        <v>967</v>
      </c>
    </row>
    <row r="338" spans="1:12" ht="26.5">
      <c r="A338" s="822"/>
      <c r="B338" s="824"/>
      <c r="C338" s="824"/>
      <c r="D338" s="591" t="s">
        <v>701</v>
      </c>
      <c r="E338" s="592" t="s">
        <v>901</v>
      </c>
      <c r="F338" s="592" t="s">
        <v>901</v>
      </c>
      <c r="G338" s="591" t="s">
        <v>968</v>
      </c>
      <c r="H338" s="591">
        <v>900</v>
      </c>
      <c r="I338" s="591" t="s">
        <v>968</v>
      </c>
      <c r="J338" s="591">
        <v>900</v>
      </c>
      <c r="K338" s="825"/>
      <c r="L338" s="593" t="s">
        <v>732</v>
      </c>
    </row>
    <row r="339" spans="1:12">
      <c r="A339" s="822"/>
      <c r="B339" s="824" t="s">
        <v>969</v>
      </c>
      <c r="C339" s="824" t="s">
        <v>970</v>
      </c>
      <c r="D339" s="591" t="s">
        <v>791</v>
      </c>
      <c r="E339" s="592">
        <v>0.2</v>
      </c>
      <c r="F339" s="592">
        <v>0.08</v>
      </c>
      <c r="G339" s="591">
        <v>9792</v>
      </c>
      <c r="H339" s="591">
        <v>1859</v>
      </c>
      <c r="I339" s="591">
        <v>9792</v>
      </c>
      <c r="J339" s="591">
        <v>1859</v>
      </c>
      <c r="K339" s="825">
        <v>3099</v>
      </c>
      <c r="L339" s="593" t="s">
        <v>971</v>
      </c>
    </row>
    <row r="340" spans="1:12">
      <c r="A340" s="822"/>
      <c r="B340" s="824"/>
      <c r="C340" s="824"/>
      <c r="D340" s="591" t="s">
        <v>792</v>
      </c>
      <c r="E340" s="592">
        <v>0.06</v>
      </c>
      <c r="F340" s="592">
        <v>0.02</v>
      </c>
      <c r="G340" s="591">
        <v>9792</v>
      </c>
      <c r="H340" s="591">
        <v>1859</v>
      </c>
      <c r="I340" s="591">
        <v>9792</v>
      </c>
      <c r="J340" s="591">
        <v>1859</v>
      </c>
      <c r="K340" s="825"/>
      <c r="L340" s="593" t="s">
        <v>971</v>
      </c>
    </row>
    <row r="341" spans="1:12">
      <c r="A341" s="822"/>
      <c r="B341" s="824"/>
      <c r="C341" s="824"/>
      <c r="D341" s="591" t="s">
        <v>793</v>
      </c>
      <c r="E341" s="592">
        <v>5.0000000000000001E-3</v>
      </c>
      <c r="F341" s="592"/>
      <c r="G341" s="591">
        <v>9792</v>
      </c>
      <c r="H341" s="591">
        <v>1859</v>
      </c>
      <c r="I341" s="591"/>
      <c r="J341" s="591"/>
      <c r="K341" s="825"/>
      <c r="L341" s="593" t="s">
        <v>971</v>
      </c>
    </row>
    <row r="342" spans="1:12">
      <c r="A342" s="822"/>
      <c r="B342" s="824"/>
      <c r="C342" s="824"/>
      <c r="D342" s="591" t="s">
        <v>794</v>
      </c>
      <c r="E342" s="592">
        <v>0.01</v>
      </c>
      <c r="F342" s="592"/>
      <c r="G342" s="591">
        <v>9792</v>
      </c>
      <c r="H342" s="591">
        <v>1859</v>
      </c>
      <c r="I342" s="591"/>
      <c r="J342" s="591"/>
      <c r="K342" s="825"/>
      <c r="L342" s="593" t="s">
        <v>971</v>
      </c>
    </row>
    <row r="343" spans="1:12">
      <c r="A343" s="822"/>
      <c r="B343" s="824"/>
      <c r="C343" s="824"/>
      <c r="D343" s="591" t="s">
        <v>795</v>
      </c>
      <c r="E343" s="592">
        <v>0.02</v>
      </c>
      <c r="F343" s="592">
        <v>0.01</v>
      </c>
      <c r="G343" s="591">
        <v>9792</v>
      </c>
      <c r="H343" s="591">
        <v>1859</v>
      </c>
      <c r="I343" s="591">
        <v>9792</v>
      </c>
      <c r="J343" s="591">
        <v>1859</v>
      </c>
      <c r="K343" s="825"/>
      <c r="L343" s="593" t="s">
        <v>971</v>
      </c>
    </row>
    <row r="344" spans="1:12">
      <c r="A344" s="822"/>
      <c r="B344" s="824"/>
      <c r="C344" s="824"/>
      <c r="D344" s="591" t="s">
        <v>701</v>
      </c>
      <c r="E344" s="592" t="s">
        <v>972</v>
      </c>
      <c r="F344" s="592" t="s">
        <v>972</v>
      </c>
      <c r="G344" s="591">
        <v>8391</v>
      </c>
      <c r="H344" s="591"/>
      <c r="I344" s="591">
        <v>8391</v>
      </c>
      <c r="J344" s="591"/>
      <c r="K344" s="825"/>
      <c r="L344" s="593" t="s">
        <v>973</v>
      </c>
    </row>
    <row r="345" spans="1:12" ht="39">
      <c r="A345" s="822"/>
      <c r="B345" s="824" t="s">
        <v>974</v>
      </c>
      <c r="C345" s="824" t="s">
        <v>975</v>
      </c>
      <c r="D345" s="591" t="s">
        <v>791</v>
      </c>
      <c r="E345" s="592" t="s">
        <v>976</v>
      </c>
      <c r="F345" s="592">
        <v>0.08</v>
      </c>
      <c r="G345" s="591">
        <v>8277</v>
      </c>
      <c r="H345" s="591">
        <v>1655</v>
      </c>
      <c r="I345" s="591">
        <v>8277</v>
      </c>
      <c r="J345" s="591">
        <v>1655</v>
      </c>
      <c r="K345" s="825">
        <v>2542.9169999999999</v>
      </c>
      <c r="L345" s="826" t="s">
        <v>977</v>
      </c>
    </row>
    <row r="346" spans="1:12" ht="143">
      <c r="A346" s="822"/>
      <c r="B346" s="824"/>
      <c r="C346" s="824"/>
      <c r="D346" s="591" t="s">
        <v>792</v>
      </c>
      <c r="E346" s="592" t="s">
        <v>978</v>
      </c>
      <c r="F346" s="592" t="s">
        <v>979</v>
      </c>
      <c r="G346" s="825">
        <v>7629</v>
      </c>
      <c r="H346" s="825">
        <v>1526</v>
      </c>
      <c r="I346" s="825">
        <v>7629</v>
      </c>
      <c r="J346" s="825">
        <v>1526</v>
      </c>
      <c r="K346" s="825"/>
      <c r="L346" s="826"/>
    </row>
    <row r="347" spans="1:12">
      <c r="A347" s="822"/>
      <c r="B347" s="824"/>
      <c r="C347" s="824"/>
      <c r="D347" s="591" t="s">
        <v>793</v>
      </c>
      <c r="E347" s="592">
        <v>6.0000000000000001E-3</v>
      </c>
      <c r="F347" s="592"/>
      <c r="G347" s="825"/>
      <c r="H347" s="825"/>
      <c r="I347" s="825"/>
      <c r="J347" s="825"/>
      <c r="K347" s="825"/>
      <c r="L347" s="826"/>
    </row>
    <row r="348" spans="1:12">
      <c r="A348" s="822"/>
      <c r="B348" s="824"/>
      <c r="C348" s="824"/>
      <c r="D348" s="591" t="s">
        <v>794</v>
      </c>
      <c r="E348" s="592">
        <v>6.0000000000000001E-3</v>
      </c>
      <c r="F348" s="592"/>
      <c r="G348" s="825"/>
      <c r="H348" s="825"/>
      <c r="I348" s="825"/>
      <c r="J348" s="825"/>
      <c r="K348" s="825"/>
      <c r="L348" s="826"/>
    </row>
    <row r="349" spans="1:12" ht="26">
      <c r="A349" s="822"/>
      <c r="B349" s="824"/>
      <c r="C349" s="824"/>
      <c r="D349" s="591" t="s">
        <v>795</v>
      </c>
      <c r="E349" s="592" t="s">
        <v>980</v>
      </c>
      <c r="F349" s="592"/>
      <c r="G349" s="825"/>
      <c r="H349" s="825"/>
      <c r="I349" s="825"/>
      <c r="J349" s="825"/>
      <c r="K349" s="825"/>
      <c r="L349" s="826"/>
    </row>
    <row r="350" spans="1:12" ht="26">
      <c r="A350" s="822"/>
      <c r="B350" s="824"/>
      <c r="C350" s="824"/>
      <c r="D350" s="591" t="s">
        <v>701</v>
      </c>
      <c r="E350" s="592" t="s">
        <v>981</v>
      </c>
      <c r="F350" s="592" t="s">
        <v>981</v>
      </c>
      <c r="G350" s="591" t="s">
        <v>982</v>
      </c>
      <c r="H350" s="591">
        <v>850</v>
      </c>
      <c r="I350" s="591" t="s">
        <v>982</v>
      </c>
      <c r="J350" s="591">
        <v>850</v>
      </c>
      <c r="K350" s="825"/>
      <c r="L350" s="826"/>
    </row>
    <row r="351" spans="1:12">
      <c r="A351" s="822"/>
      <c r="B351" s="824" t="s">
        <v>983</v>
      </c>
      <c r="C351" s="824" t="s">
        <v>983</v>
      </c>
      <c r="D351" s="591" t="s">
        <v>791</v>
      </c>
      <c r="E351" s="592">
        <v>0.18</v>
      </c>
      <c r="F351" s="592">
        <v>0.08</v>
      </c>
      <c r="G351" s="591">
        <v>17663</v>
      </c>
      <c r="H351" s="591">
        <v>1178</v>
      </c>
      <c r="I351" s="591">
        <v>17663</v>
      </c>
      <c r="J351" s="591">
        <v>1178</v>
      </c>
      <c r="K351" s="825">
        <v>2944</v>
      </c>
      <c r="L351" s="595" t="s">
        <v>932</v>
      </c>
    </row>
    <row r="352" spans="1:12">
      <c r="A352" s="822"/>
      <c r="B352" s="824"/>
      <c r="C352" s="824"/>
      <c r="D352" s="591" t="s">
        <v>792</v>
      </c>
      <c r="E352" s="592">
        <v>0.08</v>
      </c>
      <c r="F352" s="592" t="s">
        <v>984</v>
      </c>
      <c r="G352" s="591">
        <v>17663</v>
      </c>
      <c r="H352" s="591">
        <v>1178</v>
      </c>
      <c r="I352" s="591">
        <v>17663</v>
      </c>
      <c r="J352" s="591">
        <v>1178</v>
      </c>
      <c r="K352" s="825"/>
      <c r="L352" s="595" t="s">
        <v>932</v>
      </c>
    </row>
    <row r="353" spans="1:12">
      <c r="A353" s="822"/>
      <c r="B353" s="824"/>
      <c r="C353" s="824"/>
      <c r="D353" s="591" t="s">
        <v>793</v>
      </c>
      <c r="E353" s="592">
        <v>5.0000000000000001E-3</v>
      </c>
      <c r="F353" s="592"/>
      <c r="G353" s="591">
        <v>17663</v>
      </c>
      <c r="H353" s="591">
        <v>1178</v>
      </c>
      <c r="I353" s="591"/>
      <c r="J353" s="591"/>
      <c r="K353" s="825"/>
      <c r="L353" s="595" t="s">
        <v>932</v>
      </c>
    </row>
    <row r="354" spans="1:12">
      <c r="A354" s="822"/>
      <c r="B354" s="824"/>
      <c r="C354" s="824"/>
      <c r="D354" s="591" t="s">
        <v>794</v>
      </c>
      <c r="E354" s="592">
        <v>5.0000000000000001E-3</v>
      </c>
      <c r="F354" s="592"/>
      <c r="G354" s="591">
        <v>17663</v>
      </c>
      <c r="H354" s="591">
        <v>1178</v>
      </c>
      <c r="I354" s="591"/>
      <c r="J354" s="591"/>
      <c r="K354" s="825"/>
      <c r="L354" s="595" t="s">
        <v>932</v>
      </c>
    </row>
    <row r="355" spans="1:12">
      <c r="A355" s="822"/>
      <c r="B355" s="824"/>
      <c r="C355" s="824"/>
      <c r="D355" s="591" t="s">
        <v>795</v>
      </c>
      <c r="E355" s="592">
        <v>0.01</v>
      </c>
      <c r="F355" s="592">
        <v>0.01</v>
      </c>
      <c r="G355" s="591">
        <v>17663</v>
      </c>
      <c r="H355" s="591">
        <v>1178</v>
      </c>
      <c r="I355" s="591">
        <v>17663</v>
      </c>
      <c r="J355" s="591">
        <v>1178</v>
      </c>
      <c r="K355" s="825"/>
      <c r="L355" s="595" t="s">
        <v>932</v>
      </c>
    </row>
    <row r="356" spans="1:12">
      <c r="A356" s="822"/>
      <c r="B356" s="824"/>
      <c r="C356" s="824"/>
      <c r="D356" s="591" t="s">
        <v>701</v>
      </c>
      <c r="E356" s="592" t="s">
        <v>985</v>
      </c>
      <c r="F356" s="592" t="s">
        <v>985</v>
      </c>
      <c r="G356" s="591">
        <v>8832</v>
      </c>
      <c r="H356" s="591"/>
      <c r="I356" s="591">
        <v>8832</v>
      </c>
      <c r="J356" s="591"/>
      <c r="K356" s="825"/>
      <c r="L356" s="595" t="s">
        <v>732</v>
      </c>
    </row>
    <row r="357" spans="1:12" ht="117">
      <c r="A357" s="822"/>
      <c r="B357" s="824" t="s">
        <v>986</v>
      </c>
      <c r="C357" s="824" t="s">
        <v>987</v>
      </c>
      <c r="D357" s="591" t="s">
        <v>791</v>
      </c>
      <c r="E357" s="596">
        <v>0.2</v>
      </c>
      <c r="F357" s="596">
        <v>0.08</v>
      </c>
      <c r="G357" s="597">
        <v>7545</v>
      </c>
      <c r="H357" s="597">
        <v>1509</v>
      </c>
      <c r="I357" s="597">
        <v>7545</v>
      </c>
      <c r="J357" s="597">
        <v>1509</v>
      </c>
      <c r="K357" s="824" t="s">
        <v>988</v>
      </c>
      <c r="L357" s="595" t="s">
        <v>989</v>
      </c>
    </row>
    <row r="358" spans="1:12" ht="26">
      <c r="A358" s="822"/>
      <c r="B358" s="824"/>
      <c r="C358" s="824"/>
      <c r="D358" s="591" t="s">
        <v>792</v>
      </c>
      <c r="E358" s="596" t="s">
        <v>990</v>
      </c>
      <c r="F358" s="596" t="s">
        <v>991</v>
      </c>
      <c r="G358" s="597">
        <v>8372</v>
      </c>
      <c r="H358" s="597">
        <v>1675</v>
      </c>
      <c r="I358" s="597">
        <v>8372</v>
      </c>
      <c r="J358" s="597">
        <v>1675</v>
      </c>
      <c r="K358" s="824"/>
      <c r="L358" s="595" t="s">
        <v>732</v>
      </c>
    </row>
    <row r="359" spans="1:12">
      <c r="A359" s="822"/>
      <c r="B359" s="824"/>
      <c r="C359" s="824"/>
      <c r="D359" s="591" t="s">
        <v>793</v>
      </c>
      <c r="E359" s="596">
        <v>5.0000000000000001E-3</v>
      </c>
      <c r="F359" s="596"/>
      <c r="G359" s="597">
        <v>7545</v>
      </c>
      <c r="H359" s="597">
        <v>1509</v>
      </c>
      <c r="I359" s="597">
        <v>7545</v>
      </c>
      <c r="J359" s="597">
        <v>1509</v>
      </c>
      <c r="K359" s="824"/>
      <c r="L359" s="595"/>
    </row>
    <row r="360" spans="1:12">
      <c r="A360" s="822"/>
      <c r="B360" s="824"/>
      <c r="C360" s="824"/>
      <c r="D360" s="591" t="s">
        <v>794</v>
      </c>
      <c r="E360" s="596">
        <v>8.9999999999999993E-3</v>
      </c>
      <c r="F360" s="596"/>
      <c r="G360" s="597">
        <v>7545</v>
      </c>
      <c r="H360" s="597">
        <v>1509</v>
      </c>
      <c r="I360" s="597">
        <v>7545</v>
      </c>
      <c r="J360" s="597">
        <v>1509</v>
      </c>
      <c r="K360" s="824"/>
      <c r="L360" s="595"/>
    </row>
    <row r="361" spans="1:12">
      <c r="A361" s="822"/>
      <c r="B361" s="824"/>
      <c r="C361" s="824"/>
      <c r="D361" s="591" t="s">
        <v>795</v>
      </c>
      <c r="E361" s="596">
        <v>0.02</v>
      </c>
      <c r="F361" s="596">
        <v>0.01</v>
      </c>
      <c r="G361" s="597">
        <v>7545</v>
      </c>
      <c r="H361" s="597">
        <v>1509</v>
      </c>
      <c r="I361" s="597">
        <v>7545</v>
      </c>
      <c r="J361" s="597">
        <v>1509</v>
      </c>
      <c r="K361" s="824"/>
      <c r="L361" s="595"/>
    </row>
    <row r="362" spans="1:12">
      <c r="A362" s="822"/>
      <c r="B362" s="824"/>
      <c r="C362" s="824"/>
      <c r="D362" s="597" t="s">
        <v>702</v>
      </c>
      <c r="E362" s="596" t="s">
        <v>992</v>
      </c>
      <c r="F362" s="596" t="s">
        <v>992</v>
      </c>
      <c r="G362" s="597">
        <v>14335</v>
      </c>
      <c r="H362" s="597">
        <v>830</v>
      </c>
      <c r="I362" s="597">
        <v>14335</v>
      </c>
      <c r="J362" s="597">
        <v>830</v>
      </c>
      <c r="K362" s="824"/>
      <c r="L362" s="595" t="s">
        <v>932</v>
      </c>
    </row>
    <row r="363" spans="1:12">
      <c r="A363" s="822"/>
      <c r="B363" s="827" t="s">
        <v>993</v>
      </c>
      <c r="C363" s="824" t="s">
        <v>994</v>
      </c>
      <c r="D363" s="591" t="s">
        <v>791</v>
      </c>
      <c r="E363" s="596">
        <v>0.2</v>
      </c>
      <c r="F363" s="596">
        <v>0.08</v>
      </c>
      <c r="G363" s="597">
        <v>9600</v>
      </c>
      <c r="H363" s="597">
        <v>1920</v>
      </c>
      <c r="I363" s="597">
        <v>9600</v>
      </c>
      <c r="J363" s="597">
        <v>1920</v>
      </c>
      <c r="K363" s="825">
        <v>3200</v>
      </c>
      <c r="L363" s="826" t="s">
        <v>995</v>
      </c>
    </row>
    <row r="364" spans="1:12">
      <c r="A364" s="822"/>
      <c r="B364" s="827"/>
      <c r="C364" s="824"/>
      <c r="D364" s="591" t="s">
        <v>792</v>
      </c>
      <c r="E364" s="596">
        <v>0.08</v>
      </c>
      <c r="F364" s="596">
        <v>0.02</v>
      </c>
      <c r="G364" s="597">
        <v>9600</v>
      </c>
      <c r="H364" s="597">
        <v>1920</v>
      </c>
      <c r="I364" s="597">
        <v>9600</v>
      </c>
      <c r="J364" s="597">
        <v>1920</v>
      </c>
      <c r="K364" s="825"/>
      <c r="L364" s="826"/>
    </row>
    <row r="365" spans="1:12">
      <c r="A365" s="822"/>
      <c r="B365" s="827"/>
      <c r="C365" s="824"/>
      <c r="D365" s="591" t="s">
        <v>793</v>
      </c>
      <c r="E365" s="596">
        <v>5.0000000000000001E-3</v>
      </c>
      <c r="F365" s="596"/>
      <c r="G365" s="597">
        <v>9600</v>
      </c>
      <c r="H365" s="597">
        <v>1920</v>
      </c>
      <c r="I365" s="597">
        <v>9600</v>
      </c>
      <c r="J365" s="597">
        <v>1920</v>
      </c>
      <c r="K365" s="825"/>
      <c r="L365" s="826"/>
    </row>
    <row r="366" spans="1:12">
      <c r="A366" s="822"/>
      <c r="B366" s="827"/>
      <c r="C366" s="824"/>
      <c r="D366" s="591" t="s">
        <v>794</v>
      </c>
      <c r="E366" s="596">
        <v>5.0000000000000001E-3</v>
      </c>
      <c r="F366" s="596"/>
      <c r="G366" s="597">
        <v>9600</v>
      </c>
      <c r="H366" s="597">
        <v>1920</v>
      </c>
      <c r="I366" s="597">
        <v>9600</v>
      </c>
      <c r="J366" s="597">
        <v>1920</v>
      </c>
      <c r="K366" s="825"/>
      <c r="L366" s="826"/>
    </row>
    <row r="367" spans="1:12">
      <c r="A367" s="822"/>
      <c r="B367" s="827"/>
      <c r="C367" s="824"/>
      <c r="D367" s="591" t="s">
        <v>795</v>
      </c>
      <c r="E367" s="596"/>
      <c r="F367" s="596"/>
      <c r="G367" s="598"/>
      <c r="H367" s="598"/>
      <c r="I367" s="598"/>
      <c r="J367" s="598"/>
      <c r="K367" s="825"/>
      <c r="L367" s="826"/>
    </row>
    <row r="368" spans="1:12">
      <c r="A368" s="822"/>
      <c r="B368" s="827"/>
      <c r="C368" s="824"/>
      <c r="D368" s="597" t="s">
        <v>702</v>
      </c>
      <c r="E368" s="596">
        <v>0.1</v>
      </c>
      <c r="F368" s="596">
        <v>0.1</v>
      </c>
      <c r="G368" s="597">
        <v>9600</v>
      </c>
      <c r="H368" s="597">
        <v>1920</v>
      </c>
      <c r="I368" s="597">
        <v>9600</v>
      </c>
      <c r="J368" s="597">
        <v>1920</v>
      </c>
      <c r="K368" s="825"/>
      <c r="L368" s="595" t="s">
        <v>732</v>
      </c>
    </row>
    <row r="369" spans="1:12">
      <c r="A369" s="822"/>
      <c r="B369" s="827" t="s">
        <v>996</v>
      </c>
      <c r="C369" s="824" t="s">
        <v>997</v>
      </c>
      <c r="D369" s="596" t="s">
        <v>791</v>
      </c>
      <c r="E369" s="596">
        <v>0.2</v>
      </c>
      <c r="F369" s="596">
        <v>0.08</v>
      </c>
      <c r="G369" s="597">
        <v>7864.5</v>
      </c>
      <c r="H369" s="597">
        <v>1572.9</v>
      </c>
      <c r="I369" s="597">
        <v>7864.5</v>
      </c>
      <c r="J369" s="597">
        <v>1572.9</v>
      </c>
      <c r="K369" s="824">
        <v>2621.5</v>
      </c>
      <c r="L369" s="830" t="s">
        <v>998</v>
      </c>
    </row>
    <row r="370" spans="1:12">
      <c r="A370" s="822"/>
      <c r="B370" s="827"/>
      <c r="C370" s="824"/>
      <c r="D370" s="596" t="s">
        <v>792</v>
      </c>
      <c r="E370" s="596">
        <v>7.4999999999999997E-2</v>
      </c>
      <c r="F370" s="596">
        <v>0.02</v>
      </c>
      <c r="G370" s="597">
        <v>7864.5</v>
      </c>
      <c r="H370" s="597">
        <v>1572.9</v>
      </c>
      <c r="I370" s="597">
        <v>7864.5</v>
      </c>
      <c r="J370" s="597">
        <v>1572.9</v>
      </c>
      <c r="K370" s="824"/>
      <c r="L370" s="830"/>
    </row>
    <row r="371" spans="1:12">
      <c r="A371" s="822"/>
      <c r="B371" s="827"/>
      <c r="C371" s="824"/>
      <c r="D371" s="596" t="s">
        <v>793</v>
      </c>
      <c r="E371" s="596">
        <v>6.0000000000000001E-3</v>
      </c>
      <c r="F371" s="596"/>
      <c r="G371" s="597">
        <v>7864.5</v>
      </c>
      <c r="H371" s="597">
        <v>1572.9</v>
      </c>
      <c r="I371" s="597"/>
      <c r="J371" s="597"/>
      <c r="K371" s="824"/>
      <c r="L371" s="830"/>
    </row>
    <row r="372" spans="1:12">
      <c r="A372" s="822"/>
      <c r="B372" s="827"/>
      <c r="C372" s="824"/>
      <c r="D372" s="596" t="s">
        <v>794</v>
      </c>
      <c r="E372" s="596">
        <v>4.0000000000000001E-3</v>
      </c>
      <c r="F372" s="596"/>
      <c r="G372" s="597">
        <v>7864.5</v>
      </c>
      <c r="H372" s="597">
        <v>1572.9</v>
      </c>
      <c r="I372" s="597"/>
      <c r="J372" s="597"/>
      <c r="K372" s="824"/>
      <c r="L372" s="830"/>
    </row>
    <row r="373" spans="1:12">
      <c r="A373" s="822"/>
      <c r="B373" s="827"/>
      <c r="C373" s="824"/>
      <c r="D373" s="596" t="s">
        <v>795</v>
      </c>
      <c r="E373" s="596">
        <v>0.02</v>
      </c>
      <c r="F373" s="596" t="s">
        <v>999</v>
      </c>
      <c r="G373" s="597">
        <v>7864.5</v>
      </c>
      <c r="H373" s="597">
        <v>1572.9</v>
      </c>
      <c r="I373" s="597">
        <v>7864.5</v>
      </c>
      <c r="J373" s="597">
        <v>1572.9</v>
      </c>
      <c r="K373" s="824"/>
      <c r="L373" s="830"/>
    </row>
    <row r="374" spans="1:12" ht="26.5" thickBot="1">
      <c r="A374" s="823"/>
      <c r="B374" s="828"/>
      <c r="C374" s="829"/>
      <c r="D374" s="599" t="s">
        <v>702</v>
      </c>
      <c r="E374" s="599">
        <v>0.1</v>
      </c>
      <c r="F374" s="599">
        <v>0.1</v>
      </c>
      <c r="G374" s="600">
        <v>9340</v>
      </c>
      <c r="H374" s="600">
        <v>420</v>
      </c>
      <c r="I374" s="600">
        <v>9340</v>
      </c>
      <c r="J374" s="600">
        <v>420</v>
      </c>
      <c r="K374" s="829"/>
      <c r="L374" s="601" t="s">
        <v>1000</v>
      </c>
    </row>
  </sheetData>
  <mergeCells count="181">
    <mergeCell ref="C339:C344"/>
    <mergeCell ref="K339:K344"/>
    <mergeCell ref="B363:B368"/>
    <mergeCell ref="C363:C368"/>
    <mergeCell ref="K363:K368"/>
    <mergeCell ref="L363:L367"/>
    <mergeCell ref="B369:B374"/>
    <mergeCell ref="C369:C374"/>
    <mergeCell ref="K369:K374"/>
    <mergeCell ref="L369:L373"/>
    <mergeCell ref="B351:B356"/>
    <mergeCell ref="C351:C356"/>
    <mergeCell ref="K351:K356"/>
    <mergeCell ref="B357:B362"/>
    <mergeCell ref="C357:C362"/>
    <mergeCell ref="K357:K362"/>
    <mergeCell ref="A315:A374"/>
    <mergeCell ref="B315:B320"/>
    <mergeCell ref="C315:C320"/>
    <mergeCell ref="K315:K320"/>
    <mergeCell ref="L315:L319"/>
    <mergeCell ref="B321:B326"/>
    <mergeCell ref="C321:C326"/>
    <mergeCell ref="K321:K326"/>
    <mergeCell ref="L321:L325"/>
    <mergeCell ref="B327:B332"/>
    <mergeCell ref="B345:B350"/>
    <mergeCell ref="C345:C350"/>
    <mergeCell ref="K345:K350"/>
    <mergeCell ref="L345:L350"/>
    <mergeCell ref="G346:G349"/>
    <mergeCell ref="H346:H349"/>
    <mergeCell ref="I346:I349"/>
    <mergeCell ref="J346:J349"/>
    <mergeCell ref="C327:C332"/>
    <mergeCell ref="K327:K332"/>
    <mergeCell ref="B333:B338"/>
    <mergeCell ref="C333:C338"/>
    <mergeCell ref="K333:K338"/>
    <mergeCell ref="B339:B344"/>
    <mergeCell ref="L303:L308"/>
    <mergeCell ref="C309:C314"/>
    <mergeCell ref="K309:K314"/>
    <mergeCell ref="C279:C284"/>
    <mergeCell ref="K279:K284"/>
    <mergeCell ref="L279:L283"/>
    <mergeCell ref="C285:C290"/>
    <mergeCell ref="K285:K290"/>
    <mergeCell ref="B291:B296"/>
    <mergeCell ref="C291:C296"/>
    <mergeCell ref="K291:K295"/>
    <mergeCell ref="L291:L296"/>
    <mergeCell ref="L267:L272"/>
    <mergeCell ref="C273:C278"/>
    <mergeCell ref="K273:K278"/>
    <mergeCell ref="L273:L277"/>
    <mergeCell ref="C255:C260"/>
    <mergeCell ref="K255:K260"/>
    <mergeCell ref="L255:L260"/>
    <mergeCell ref="C261:C266"/>
    <mergeCell ref="K261:K266"/>
    <mergeCell ref="L261:L266"/>
    <mergeCell ref="L237:L242"/>
    <mergeCell ref="C243:C248"/>
    <mergeCell ref="K243:K248"/>
    <mergeCell ref="C249:C254"/>
    <mergeCell ref="K249:K254"/>
    <mergeCell ref="L249:L253"/>
    <mergeCell ref="L219:L223"/>
    <mergeCell ref="C225:C230"/>
    <mergeCell ref="K225:K230"/>
    <mergeCell ref="L225:L230"/>
    <mergeCell ref="C231:C236"/>
    <mergeCell ref="K231:K236"/>
    <mergeCell ref="L231:L236"/>
    <mergeCell ref="L201:L206"/>
    <mergeCell ref="B207:B212"/>
    <mergeCell ref="C207:C212"/>
    <mergeCell ref="K207:K211"/>
    <mergeCell ref="L207:L211"/>
    <mergeCell ref="B213:B218"/>
    <mergeCell ref="C213:C218"/>
    <mergeCell ref="K213:K218"/>
    <mergeCell ref="L213:L218"/>
    <mergeCell ref="B195:B200"/>
    <mergeCell ref="C195:C200"/>
    <mergeCell ref="K195:K200"/>
    <mergeCell ref="A201:A314"/>
    <mergeCell ref="B201:B206"/>
    <mergeCell ref="C201:C206"/>
    <mergeCell ref="K201:K206"/>
    <mergeCell ref="B219:B290"/>
    <mergeCell ref="C219:C224"/>
    <mergeCell ref="K219:K224"/>
    <mergeCell ref="C237:C242"/>
    <mergeCell ref="K237:K242"/>
    <mergeCell ref="C267:C272"/>
    <mergeCell ref="K267:K272"/>
    <mergeCell ref="B297:B314"/>
    <mergeCell ref="C297:C302"/>
    <mergeCell ref="K297:K302"/>
    <mergeCell ref="C303:C308"/>
    <mergeCell ref="K303:K308"/>
    <mergeCell ref="A86:A200"/>
    <mergeCell ref="K116:K122"/>
    <mergeCell ref="C123:C128"/>
    <mergeCell ref="K123:K128"/>
    <mergeCell ref="B159:B194"/>
    <mergeCell ref="C177:C182"/>
    <mergeCell ref="K177:K182"/>
    <mergeCell ref="C183:C188"/>
    <mergeCell ref="K183:K188"/>
    <mergeCell ref="C189:C194"/>
    <mergeCell ref="K189:K194"/>
    <mergeCell ref="C147:C152"/>
    <mergeCell ref="K147:K152"/>
    <mergeCell ref="C153:C158"/>
    <mergeCell ref="K153:K158"/>
    <mergeCell ref="K165:K170"/>
    <mergeCell ref="C171:C176"/>
    <mergeCell ref="C159:C164"/>
    <mergeCell ref="K159:K164"/>
    <mergeCell ref="C165:C170"/>
    <mergeCell ref="L123:L127"/>
    <mergeCell ref="C129:C134"/>
    <mergeCell ref="K129:K134"/>
    <mergeCell ref="C135:C140"/>
    <mergeCell ref="K135:K140"/>
    <mergeCell ref="C141:C146"/>
    <mergeCell ref="K141:K146"/>
    <mergeCell ref="K171:K176"/>
    <mergeCell ref="B74:B85"/>
    <mergeCell ref="C74:C79"/>
    <mergeCell ref="K74:K79"/>
    <mergeCell ref="C80:C85"/>
    <mergeCell ref="K80:K85"/>
    <mergeCell ref="B86:B103"/>
    <mergeCell ref="C86:C91"/>
    <mergeCell ref="K86:K103"/>
    <mergeCell ref="C92:C97"/>
    <mergeCell ref="C98:C103"/>
    <mergeCell ref="B104:B158"/>
    <mergeCell ref="C104:C109"/>
    <mergeCell ref="K104:K109"/>
    <mergeCell ref="C110:C115"/>
    <mergeCell ref="K110:K115"/>
    <mergeCell ref="C116:C122"/>
    <mergeCell ref="B32:B43"/>
    <mergeCell ref="C32:C37"/>
    <mergeCell ref="K32:K37"/>
    <mergeCell ref="C38:C43"/>
    <mergeCell ref="K38:K43"/>
    <mergeCell ref="B44:B61"/>
    <mergeCell ref="C44:C49"/>
    <mergeCell ref="K44:K49"/>
    <mergeCell ref="C50:C55"/>
    <mergeCell ref="K50:K55"/>
    <mergeCell ref="B20:B25"/>
    <mergeCell ref="C20:C25"/>
    <mergeCell ref="K20:K25"/>
    <mergeCell ref="B26:B31"/>
    <mergeCell ref="C26:C31"/>
    <mergeCell ref="K26:K31"/>
    <mergeCell ref="A2:A85"/>
    <mergeCell ref="B2:B7"/>
    <mergeCell ref="C2:C7"/>
    <mergeCell ref="K2:K7"/>
    <mergeCell ref="B8:B13"/>
    <mergeCell ref="C8:C13"/>
    <mergeCell ref="K8:K13"/>
    <mergeCell ref="B14:B19"/>
    <mergeCell ref="C14:C19"/>
    <mergeCell ref="K14:K19"/>
    <mergeCell ref="C56:C61"/>
    <mergeCell ref="K56:K61"/>
    <mergeCell ref="B62:B67"/>
    <mergeCell ref="C62:C67"/>
    <mergeCell ref="K62:K67"/>
    <mergeCell ref="B68:B73"/>
    <mergeCell ref="C68:C73"/>
    <mergeCell ref="K68:K73"/>
  </mergeCells>
  <phoneticPr fontId="3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5</vt:i4>
      </vt:variant>
    </vt:vector>
  </HeadingPairs>
  <TitlesOfParts>
    <vt:vector size="19" baseType="lpstr">
      <vt:lpstr>目录</vt:lpstr>
      <vt:lpstr>工资计算</vt:lpstr>
      <vt:lpstr>考勤表</vt:lpstr>
      <vt:lpstr>四联工资单</vt:lpstr>
      <vt:lpstr>三联工资单</vt:lpstr>
      <vt:lpstr>个税明细申报表</vt:lpstr>
      <vt:lpstr>个税报告</vt:lpstr>
      <vt:lpstr>收入明细表</vt:lpstr>
      <vt:lpstr>节日</vt:lpstr>
      <vt:lpstr>工资条1</vt:lpstr>
      <vt:lpstr>工资条2</vt:lpstr>
      <vt:lpstr>使用说明</vt:lpstr>
      <vt:lpstr>参数</vt:lpstr>
      <vt:lpstr>公积金</vt:lpstr>
      <vt:lpstr>个税报告!Print_Area</vt:lpstr>
      <vt:lpstr>工资条1!Print_Area</vt:lpstr>
      <vt:lpstr>工资条2!Print_Area</vt:lpstr>
      <vt:lpstr>三联工资单!Print_Area</vt:lpstr>
      <vt:lpstr>四联工资单!Print_Area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工资表</dc:title>
  <dc:creator>shuychen</dc:creator>
  <cp:lastModifiedBy>Administrator</cp:lastModifiedBy>
  <cp:lastPrinted>2007-03-21T00:02:52Z</cp:lastPrinted>
  <dcterms:created xsi:type="dcterms:W3CDTF">2007-03-19T08:27:44Z</dcterms:created>
  <dcterms:modified xsi:type="dcterms:W3CDTF">2019-06-19T07:07:13Z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bea50775-4c4e-4efa-883c-a73fd68e9ba2</vt:lpwstr>
  </property>
</Properties>
</file>